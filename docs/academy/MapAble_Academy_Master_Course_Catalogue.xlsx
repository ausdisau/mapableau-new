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84dd13d01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53f4d5bc1dd457d"/>
    <x:sheet xmlns:r="http://schemas.openxmlformats.org/officeDocument/2006/relationships" name="Course Catalogue" sheetId="2" r:id="Ra845004d411d4ff2"/>
    <x:sheet xmlns:r="http://schemas.openxmlformats.org/officeDocument/2006/relationships" name="Pathways" sheetId="3" r:id="R96039ac6d8ba4fb5"/>
    <x:sheet xmlns:r="http://schemas.openxmlformats.org/officeDocument/2006/relationships" name="Release Roadmap" sheetId="4" r:id="R8486ea936a4447cf"/>
    <x:sheet xmlns:r="http://schemas.openxmlformats.org/officeDocument/2006/relationships" name="Cursor Seed" sheetId="5" r:id="Rbd3f9f0d26ed4dff"/>
    <x:sheet xmlns:r="http://schemas.openxmlformats.org/officeDocument/2006/relationships" name="Codebook" sheetId="6" r:id="Rc439ff29eb2d4b53"/>
    <x:sheet xmlns:r="http://schemas.openxmlformats.org/officeDocument/2006/relationships" name="Source Notes" sheetId="7" r:id="R2c24befface5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20"/>
      <x:color rgb="FFFFFFFF"/>
      <x:name val="Carlito"/>
    </x:font>
    <x:font>
      <x:i/>
      <x:sz val="10"/>
      <x:color rgb="FF073B4C"/>
      <x:name val="Carlito"/>
    </x:font>
    <x:font>
      <x:b/>
      <x:sz val="11"/>
      <x:color rgb="FFFFFFFF"/>
      <x:name val="Carlito"/>
    </x:font>
    <x:font>
      <x:b/>
      <x:sz val="18"/>
      <x:color rgb="FF073B4C"/>
      <x:name val="Carlito"/>
    </x:font>
    <x:font>
      <x:b/>
      <x:sz val="12"/>
      <x:color rgb="FF17212B"/>
      <x:name val="Carlito"/>
    </x:font>
    <x:font>
      <x:sz val="11"/>
      <x:color rgb="FF17212B"/>
      <x:name val="Carlito"/>
    </x:font>
    <x:font>
      <x:b/>
      <x:sz val="10"/>
      <x:color rgb="FF17212B"/>
      <x:name val="Aptos"/>
    </x:font>
    <x:font>
      <x:i/>
      <x:sz val="10"/>
      <x:color rgb="FF17212B"/>
      <x:name val="Aptos"/>
    </x:font>
    <x:font>
      <x:sz val="10"/>
      <x:color rgb="FF17212B"/>
      <x:name val="Aptos"/>
    </x:font>
    <x:font>
      <x:b/>
      <x:sz val="20"/>
      <x:color rgb="FFFFFFFF"/>
      <x:name val="Aptos Display"/>
    </x:font>
    <x:font>
      <x:i/>
      <x:sz val="10"/>
      <x:color rgb="FF073B4C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73B4C"/>
      </x:patternFill>
    </x:fill>
    <x:fill>
      <x:patternFill patternType="solid">
        <x:fgColor rgb="FFDDF4F7"/>
      </x:patternFill>
    </x:fill>
    <x:fill>
      <x:patternFill patternType="solid">
        <x:fgColor rgb="FF0F766E"/>
      </x:patternFill>
    </x:fill>
    <x:fill>
      <x:patternFill patternType="solid">
        <x:fgColor rgb="FFFFF8ED"/>
      </x:patternFill>
    </x:fill>
    <x:fill>
      <x:patternFill patternType="solid">
        <x:fgColor rgb="FFF4B942"/>
      </x:patternFill>
    </x:fill>
    <x:fill>
      <x:patternFill patternType="solid">
        <x:fgColor rgb="FFF7FAFC"/>
      </x:patternFill>
    </x:fill>
    <x:fill>
      <x:patternFill patternType="solid">
        <x:fgColor rgb="FF176B87"/>
      </x:patternFill>
    </x:fill>
  </x:fills>
  <x:borders count="9">
    <x:border/>
    <x:border>
      <x:left style="thin">
        <x:color rgb="FFD8E1E8"/>
      </x:left>
      <x:top style="thin">
        <x:color rgb="FFD8E1E8"/>
      </x:top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  <x:bottom style="thin">
        <x:color rgb="FFD8E1E8"/>
      </x:bottom>
    </x:border>
    <x:border>
      <x:right style="thin">
        <x:color rgb="FFD8E1E8"/>
      </x:right>
      <x:bottom style="thin">
        <x:color rgb="FFD8E1E8"/>
      </x:bottom>
    </x:border>
    <x:border>
      <x:bottom style="medium">
        <x:color rgb="FF073B4C"/>
      </x:bottom>
    </x:border>
    <x:border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top style="thin">
        <x:color rgb="FFD8E1E8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5" xfId="0" applyNumberFormat="1" applyFont="1" applyFill="1" applyBorder="1"/>
    <x:xf numFmtId="0" fontId="3" fillId="8" borderId="5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horizontal="left" wrapText="1"/>
    </x:xf>
    <x:xf numFmtId="0" fontId="3" fillId="8" borderId="5" xfId="0" applyNumberFormat="1" applyFont="1" applyFill="1" applyBorder="1" applyAlignment="1">
      <x:alignment horizontal="left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9" fillId="7" borderId="0" xfId="0" applyNumberFormat="1" applyFont="1" applyFill="1" applyBorder="1" applyAlignment="1">
      <x:alignment vertical="top" wrapText="1"/>
    </x:xf>
    <x:xf numFmtId="0" fontId="7" fillId="8" borderId="5" xfId="0" applyNumberFormat="1" applyFont="1" applyFill="1" applyBorder="1" applyAlignment="1">
      <x:alignment horizontal="left" vertical="center" wrapText="1"/>
    </x:xf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2" fillId="8" borderId="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6B21A8"/>
      </x:font>
      <x:fill>
        <x:patternFill patternType="solid">
          <x:bgColor rgb="FFF3E8FF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1de1d8b34428d" /><Relationship Type="http://schemas.openxmlformats.org/officeDocument/2006/relationships/theme" Target="/xl/theme/theme1.xml" Id="Rbd7bc7ad5a314d08" /><Relationship Type="http://schemas.openxmlformats.org/officeDocument/2006/relationships/sharedStrings" Target="/xl/sharedStrings.xml" Id="Rbaaacbb15b7a485e" /><Relationship Type="http://schemas.openxmlformats.org/officeDocument/2006/relationships/worksheet" Target="/xl/worksheets/sheet1.xml" Id="Re53f4d5bc1dd457d" /><Relationship Type="http://schemas.openxmlformats.org/officeDocument/2006/relationships/worksheet" Target="/xl/worksheets/sheet2.xml" Id="Ra845004d411d4ff2" /><Relationship Type="http://schemas.openxmlformats.org/officeDocument/2006/relationships/worksheet" Target="/xl/worksheets/sheet3.xml" Id="R96039ac6d8ba4fb5" /><Relationship Type="http://schemas.openxmlformats.org/officeDocument/2006/relationships/worksheet" Target="/xl/worksheets/sheet4.xml" Id="R8486ea936a4447cf" /><Relationship Type="http://schemas.openxmlformats.org/officeDocument/2006/relationships/worksheet" Target="/xl/worksheets/sheet5.xml" Id="Rbd3f9f0d26ed4dff" /><Relationship Type="http://schemas.openxmlformats.org/officeDocument/2006/relationships/worksheet" Target="/xl/worksheets/sheet6.xml" Id="Rc439ff29eb2d4b53" /><Relationship Type="http://schemas.openxmlformats.org/officeDocument/2006/relationships/worksheet" Target="/xl/worksheets/sheet7.xml" Id="R2c24befface541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7ba34b1dc249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Courses by Academy school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Courses</c:v>
          </c:tx>
          <c:cat>
            <c:strRef>
              <c:f>'Overview'!$A$14:$A$27</c:f>
              <c:strCache>
                <c:ptCount val="0"/>
              </c:strCache>
            </c:strRef>
          </c:cat>
          <c:val>
            <c:numRef>
              <c:f>'Overview'!$B$14:$B$27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7ba34b1dc249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urseCatalogueTable" displayName="CourseCatalogueTable" ref="A3:T145" headerRowCount="1" totalsRowCount="0" totalsRowShown="0">
  <x:tableColumns count="20">
    <x:tableColumn id="1" name="Course Code"/>
    <x:tableColumn id="2" name="School"/>
    <x:tableColumn id="3" name="Course Title"/>
    <x:tableColumn id="4" name="Primary Audience"/>
    <x:tableColumn id="5" name="Level"/>
    <x:tableColumn id="6" name="Delivery Format"/>
    <x:tableColumn id="7" name="Duration (min)"/>
    <x:tableColumn id="8" name="Assessment"/>
    <x:tableColumn id="9" name="Credential"/>
    <x:tableColumn id="10" name="Suggested Review Cycle"/>
    <x:tableColumn id="11" name="Practical Assessment Required"/>
    <x:tableColumn id="12" name="Clinical Review Required"/>
    <x:tableColumn id="13" name="Disability-Led Review"/>
    <x:tableColumn id="14" name="Release Wave"/>
    <x:tableColumn id="15" name="Status"/>
    <x:tableColumn id="16" name="Pathway Badge"/>
    <x:tableColumn id="17" name="NDIS / Framework Tags"/>
    <x:tableColumn id="18" name="Indicative Learning Outcome"/>
    <x:tableColumn id="19" name="Authoritative Source URL"/>
    <x:tableColumn id="20" name="Governanc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ademyPathwaysTable" displayName="AcademyPathwaysTable" ref="A3:G17" headerRowCount="1" totalsRowCount="0" totalsRowShown="0">
  <x:tableColumns count="7">
    <x:tableColumn id="1" name="School Code"/>
    <x:tableColumn id="2" name="Academy School"/>
    <x:tableColumn id="3" name="Course Count"/>
    <x:tableColumn id="4" name="Primary Audience"/>
    <x:tableColumn id="5" name="Pathway Badge"/>
    <x:tableColumn id="6" name="Purpose"/>
    <x:tableColumn id="7" name="Release Priority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leaseRoadmapTable" displayName="ReleaseRoadmapTable" ref="A3:F6" headerRowCount="1" totalsRowCount="0" totalsRowShown="0">
  <x:tableColumns count="6">
    <x:tableColumn id="1" name="Release Wave"/>
    <x:tableColumn id="2" name="Courses"/>
    <x:tableColumn id="3" name="Purpose"/>
    <x:tableColumn id="4" name="Content Focus"/>
    <x:tableColumn id="5" name="Entry Gate"/>
    <x:tableColumn id="6" name="Exit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rsorSeedTable" displayName="CursorSeedTable" ref="A3:O145" headerRowCount="1" totalsRowCount="0" totalsRowShown="0">
  <x:tableColumns count="15">
    <x:tableColumn id="1" name="courseCode"/>
    <x:tableColumn id="2" name="schoolCode"/>
    <x:tableColumn id="3" name="title"/>
    <x:tableColumn id="4" name="audience"/>
    <x:tableColumn id="5" name="level"/>
    <x:tableColumn id="6" name="durationMinutes"/>
    <x:tableColumn id="7" name="deliveryFormat"/>
    <x:tableColumn id="8" name="assessmentType"/>
    <x:tableColumn id="9" name="credentialType"/>
    <x:tableColumn id="10" name="reviewCycle"/>
    <x:tableColumn id="11" name="releaseWave"/>
    <x:tableColumn id="12" name="ndisTags"/>
    <x:tableColumn id="13" name="sourceUrl"/>
    <x:tableColumn id="14" name="disclaimer"/>
    <x:tableColumn id="15" name="publicationStatus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MetadataCodebookTable" displayName="MetadataCodebookTable" ref="A3:D15" headerRowCount="1" totalsRowCount="0" totalsRowShown="0">
  <x:tableColumns count="4">
    <x:tableColumn id="1" name="Field"/>
    <x:tableColumn id="2" name="Definition"/>
    <x:tableColumn id="3" name="Allowed Values / Rule"/>
    <x:tableColumn id="4" name="Implementation Not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SourceNotesTable" displayName="SourceNotesTable" ref="A3:D15" headerRowCount="1" totalsRowCount="0" totalsRowShown="0">
  <x:tableColumns count="4">
    <x:tableColumn id="1" name="Theme"/>
    <x:tableColumn id="2" name="Source"/>
    <x:tableColumn id="3" name="URL"/>
    <x:tableColumn id="4" name="Use and 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d8ff201dd442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7c89bee98f4c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6ceaf173894f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3b3513b7bf46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7b6e5e6fd045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ed80ef1fbe4a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3f5520947545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67" t="str">
        <x:v>MapAble Academy — Master Course Catalogue</x:v>
      </x:c>
      <x:c r="B1" s="67" t="str">
        <x:v>MapAble Academy — Master Course Catalogue</x:v>
      </x:c>
      <x:c r="C1" s="67" t="str">
        <x:v>MapAble Academy — Master Course Catalogue</x:v>
      </x:c>
      <x:c r="D1" s="67" t="str">
        <x:v>MapAble Academy — Master Course Catalogue</x:v>
      </x:c>
      <x:c r="E1" s="67" t="str">
        <x:v>MapAble Academy — Master Course Catalogue</x:v>
      </x:c>
      <x:c r="F1" s="67" t="str">
        <x:v>MapAble Academy — Master Course Catalogue</x:v>
      </x:c>
      <x:c r="G1" s="67" t="str">
        <x:v>MapAble Academy — Master Course Catalogue</x:v>
      </x:c>
      <x:c r="H1" s="67" t="str">
        <x:v>MapAble Academy — Master Course Catalogue</x:v>
      </x:c>
      <x:c r="I1" s="67" t="str">
        <x:v>MapAble Academy — Master Course Catalogue</x:v>
      </x:c>
      <x:c r="J1" s="67" t="str">
        <x:v>MapAble Academy — Master Course Catalogue</x:v>
      </x:c>
    </x:row>
    <x:row r="2" ht="32" customHeight="1">
      <x:c r="A2" s="68" t="str">
        <x:v>142-course curriculum architecture for support workers, providers and disability-led learning governance. Version 1.0 — 14 July 2026.</x:v>
      </x:c>
      <x:c r="B2" s="68" t="str">
        <x:v>142-course curriculum architecture for support workers, providers and disability-led learning governance. Version 1.0 — 14 July 2026.</x:v>
      </x:c>
      <x:c r="C2" s="68" t="str">
        <x:v>142-course curriculum architecture for support workers, providers and disability-led learning governance. Version 1.0 — 14 July 2026.</x:v>
      </x:c>
      <x:c r="D2" s="68" t="str">
        <x:v>142-course curriculum architecture for support workers, providers and disability-led learning governance. Version 1.0 — 14 July 2026.</x:v>
      </x:c>
      <x:c r="E2" s="68" t="str">
        <x:v>142-course curriculum architecture for support workers, providers and disability-led learning governance. Version 1.0 — 14 July 2026.</x:v>
      </x:c>
      <x:c r="F2" s="68" t="str">
        <x:v>142-course curriculum architecture for support workers, providers and disability-led learning governance. Version 1.0 — 14 July 2026.</x:v>
      </x:c>
      <x:c r="G2" s="68" t="str">
        <x:v>142-course curriculum architecture for support workers, providers and disability-led learning governance. Version 1.0 — 14 July 2026.</x:v>
      </x:c>
      <x:c r="H2" s="68" t="str">
        <x:v>142-course curriculum architecture for support workers, providers and disability-led learning governance. Version 1.0 — 14 July 2026.</x:v>
      </x:c>
      <x:c r="I2" s="68" t="str">
        <x:v>142-course curriculum architecture for support workers, providers and disability-led learning governance. Version 1.0 — 14 July 2026.</x:v>
      </x:c>
      <x:c r="J2" s="68" t="str">
        <x:v>142-course curriculum architecture for support workers, providers and disability-led learning governance. Version 1.0 — 14 July 2026.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>
      <x:c r="A4" s="51" t="str">
        <x:v>Total courses</x:v>
      </x:c>
      <x:c r="B4" s="51" t="str">
        <x:v>Total courses</x:v>
      </x:c>
      <x:c r="C4" s="51" t="str">
        <x:v>Academy schools</x:v>
      </x:c>
      <x:c r="D4" s="51" t="str">
        <x:v>Academy schools</x:v>
      </x:c>
      <x:c r="E4" s="51" t="str">
        <x:v>Wave 1 launch</x:v>
      </x:c>
      <x:c r="F4" s="51" t="str">
        <x:v>Wave 1 launch</x:v>
      </x:c>
      <x:c r="G4" s="51" t="str">
        <x:v>Clinical review</x:v>
      </x:c>
      <x:c r="H4" s="51" t="str">
        <x:v>Clinical review</x:v>
      </x:c>
      <x:c r="I4" s="51" t="str">
        <x:v>Practical assessment</x:v>
      </x:c>
      <x:c r="J4" s="51" t="str">
        <x:v>Practical assessment</x:v>
      </x:c>
    </x:row>
    <x:row r="5">
      <x:c r="A5" s="52" t="n">
        <x:f>COUNTA('Course Catalogue'!$A$4:$A$200)</x:f>
        <x:v>142</x:v>
      </x:c>
      <x:c r="B5" s="53"/>
      <x:c r="C5" s="52" t="n">
        <x:f>COUNTA('Pathways'!$A$4:$A$30)</x:f>
        <x:v>14</x:v>
      </x:c>
      <x:c r="D5" s="53"/>
      <x:c r="E5" s="52" t="n">
        <x:f>COUNTIF('Course Catalogue'!$N$4:$N$200,"Wave 1 – Launch")</x:f>
        <x:v>36</x:v>
      </x:c>
      <x:c r="F5" s="53"/>
      <x:c r="G5" s="52" t="n">
        <x:f>COUNTIF('Course Catalogue'!$L$4:$L$200,"Yes")</x:f>
        <x:v>30</x:v>
      </x:c>
      <x:c r="H5" s="53"/>
      <x:c r="I5" s="52" t="n">
        <x:f>COUNTIF('Course Catalogue'!$K$4:$K$200,"Yes – qualified assessor and participant-specific plan required")</x:f>
        <x:v>10</x:v>
      </x:c>
      <x:c r="J5" s="53"/>
    </x:row>
    <x:row r="6">
      <x:c r="A6" s="54"/>
      <x:c r="B6" s="55"/>
      <x:c r="C6" s="54"/>
      <x:c r="D6" s="55"/>
      <x:c r="E6" s="54"/>
      <x:c r="F6" s="55"/>
      <x:c r="G6" s="54"/>
      <x:c r="H6" s="55"/>
      <x:c r="I6" s="54"/>
      <x:c r="J6" s="55"/>
    </x:row>
    <x:row r="7">
      <x:c r="A7" s="50"/>
      <x:c r="B7" s="50"/>
      <x:c r="C7" s="50"/>
      <x:c r="D7" s="50"/>
      <x:c r="E7" s="50"/>
      <x:c r="F7" s="50"/>
      <x:c r="G7" s="50"/>
      <x:c r="H7" s="50"/>
      <x:c r="I7" s="50"/>
      <x:c r="J7" s="50"/>
    </x:row>
    <x:row r="8">
      <x:c r="A8" s="56" t="str">
        <x:v>Curriculum principles</x:v>
      </x:c>
      <x:c r="B8" s="56" t="str">
        <x:v>Curriculum principles</x:v>
      </x:c>
      <x:c r="C8" s="56" t="str">
        <x:v>Curriculum principles</x:v>
      </x:c>
      <x:c r="D8" s="56" t="str">
        <x:v>Curriculum principles</x:v>
      </x:c>
      <x:c r="E8" s="56" t="str">
        <x:v>Curriculum principles</x:v>
      </x:c>
      <x:c r="F8" s="56" t="str">
        <x:v>Curriculum principles</x:v>
      </x:c>
      <x:c r="G8" s="56" t="str">
        <x:v>Curriculum principles</x:v>
      </x:c>
      <x:c r="H8" s="56" t="str">
        <x:v>Curriculum principles</x:v>
      </x:c>
      <x:c r="I8" s="56" t="str">
        <x:v>Curriculum principles</x:v>
      </x:c>
      <x:c r="J8" s="56" t="str">
        <x:v>Curriculum principles</x:v>
      </x:c>
    </x:row>
    <x:row r="9">
      <x:c r="A9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B9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C9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D9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E9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F9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G9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H9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I9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J9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</x:row>
    <x:row r="10">
      <x:c r="A10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B10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C10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D10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E10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F10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G10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H10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I10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J10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</x:row>
    <x:row r="11">
      <x:c r="A11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B11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C11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D11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E11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F11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G11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H11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I11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  <x:c r="J11" s="57" t="str">
        <x:v>Disability-led review is mandatory. Certificates are non-accredited professional development. High-intensity learning is theory only until participant-specific training and practical assessment are completed. Course-to-standard mapping supports evidence but never guarantees compliance. Suggested refresher cycles must be confirmed through provider risk assessment, participant needs and assessor requirements.</x:v>
      </x:c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0"/>
      <x:c r="J12" s="50"/>
    </x:row>
    <x:row r="13" ht="34" customHeight="1">
      <x:c r="A13" s="69" t="str">
        <x:v>Academy school</x:v>
      </x:c>
      <x:c r="B13" s="69" t="str">
        <x:v>Courses</x:v>
      </x:c>
      <x:c r="C13" s="50"/>
      <x:c r="D13" s="50"/>
      <x:c r="E13" s="50"/>
      <x:c r="F13" s="50"/>
      <x:c r="G13" s="50"/>
      <x:c r="H13" s="50"/>
      <x:c r="I13" s="50"/>
      <x:c r="J13" s="50"/>
    </x:row>
    <x:row r="14">
      <x:c r="A14" s="59" t="str">
        <x:f>'Pathways'!B4</x:f>
        <x:v>Foundations &amp; Professional Practice</x:v>
      </x:c>
      <x:c r="B14" s="59" t="n">
        <x:f>'Pathways'!C4</x:f>
        <x:v>10</x:v>
      </x:c>
      <x:c r="C14" s="50"/>
      <x:c r="D14" s="50"/>
      <x:c r="E14" s="50"/>
      <x:c r="F14" s="50"/>
      <x:c r="G14" s="50"/>
      <x:c r="H14" s="50"/>
      <x:c r="I14" s="50"/>
      <x:c r="J14" s="50"/>
    </x:row>
    <x:row r="15">
      <x:c r="A15" s="60" t="str">
        <x:f>'Pathways'!B5</x:f>
        <x:v>Rights, Safeguarding &amp; Choice</x:v>
      </x:c>
      <x:c r="B15" s="60" t="n">
        <x:f>'Pathways'!C5</x:f>
        <x:v>10</x:v>
      </x:c>
      <x:c r="C15" s="50"/>
      <x:c r="D15" s="50"/>
      <x:c r="E15" s="50"/>
      <x:c r="F15" s="50"/>
      <x:c r="G15" s="50"/>
      <x:c r="H15" s="50"/>
      <x:c r="I15" s="50"/>
      <x:c r="J15" s="50"/>
    </x:row>
    <x:row r="16">
      <x:c r="A16" s="60" t="str">
        <x:f>'Pathways'!B6</x:f>
        <x:v>Communication, Accessibility &amp; Inclusion</x:v>
      </x:c>
      <x:c r="B16" s="60" t="n">
        <x:f>'Pathways'!C6</x:f>
        <x:v>10</x:v>
      </x:c>
      <x:c r="C16" s="50"/>
      <x:c r="D16" s="50"/>
      <x:c r="E16" s="50"/>
      <x:c r="F16" s="50"/>
      <x:c r="G16" s="50"/>
      <x:c r="H16" s="50"/>
      <x:c r="I16" s="50"/>
      <x:c r="J16" s="50"/>
    </x:row>
    <x:row r="17">
      <x:c r="A17" s="60" t="str">
        <x:f>'Pathways'!B7</x:f>
        <x:v>Personal Support, Health &amp; Daily Living</x:v>
      </x:c>
      <x:c r="B17" s="60" t="n">
        <x:f>'Pathways'!C7</x:f>
        <x:v>10</x:v>
      </x:c>
      <x:c r="C17" s="50"/>
      <x:c r="D17" s="50"/>
      <x:c r="E17" s="50"/>
      <x:c r="F17" s="50"/>
      <x:c r="G17" s="50"/>
      <x:c r="H17" s="50"/>
      <x:c r="I17" s="50"/>
      <x:c r="J17" s="50"/>
    </x:row>
    <x:row r="18">
      <x:c r="A18" s="60" t="str">
        <x:f>'Pathways'!B8</x:f>
        <x:v>High Intensity Support Knowledge</x:v>
      </x:c>
      <x:c r="B18" s="60" t="n">
        <x:f>'Pathways'!C8</x:f>
        <x:v>10</x:v>
      </x:c>
      <x:c r="C18" s="50"/>
      <x:c r="D18" s="50"/>
      <x:c r="E18" s="50"/>
      <x:c r="F18" s="50"/>
      <x:c r="G18" s="50"/>
      <x:c r="H18" s="50"/>
      <x:c r="I18" s="50"/>
      <x:c r="J18" s="50"/>
    </x:row>
    <x:row r="19">
      <x:c r="A19" s="60" t="str">
        <x:f>'Pathways'!B9</x:f>
        <x:v>Behaviour Support, Mental Health &amp; Recovery</x:v>
      </x:c>
      <x:c r="B19" s="60" t="n">
        <x:f>'Pathways'!C9</x:f>
        <x:v>10</x:v>
      </x:c>
      <x:c r="C19" s="50"/>
      <x:c r="D19" s="50"/>
      <x:c r="E19" s="50"/>
      <x:c r="F19" s="50"/>
      <x:c r="G19" s="50"/>
      <x:c r="H19" s="50"/>
      <x:c r="I19" s="50"/>
      <x:c r="J19" s="50"/>
    </x:row>
    <x:row r="20">
      <x:c r="A20" s="60" t="str">
        <x:f>'Pathways'!B10</x:f>
        <x:v>Transport, Mobility &amp; Community Access</x:v>
      </x:c>
      <x:c r="B20" s="60" t="n">
        <x:f>'Pathways'!C10</x:f>
        <x:v>10</x:v>
      </x:c>
      <x:c r="C20" s="50"/>
      <x:c r="D20" s="50"/>
      <x:c r="E20" s="50"/>
      <x:c r="F20" s="50"/>
      <x:c r="G20" s="50"/>
      <x:c r="H20" s="50"/>
      <x:c r="I20" s="50"/>
      <x:c r="J20" s="50"/>
    </x:row>
    <x:row r="21">
      <x:c r="A21" s="60" t="str">
        <x:f>'Pathways'!B11</x:f>
        <x:v>Employment, Education &amp; Economic Participation</x:v>
      </x:c>
      <x:c r="B21" s="60" t="n">
        <x:f>'Pathways'!C11</x:f>
        <x:v>10</x:v>
      </x:c>
      <x:c r="C21" s="50"/>
      <x:c r="D21" s="50"/>
      <x:c r="E21" s="50"/>
      <x:c r="F21" s="50"/>
      <x:c r="G21" s="50"/>
      <x:c r="H21" s="50"/>
      <x:c r="I21" s="50"/>
      <x:c r="J21" s="50"/>
    </x:row>
    <x:row r="22">
      <x:c r="A22" s="60" t="str">
        <x:f>'Pathways'!B12</x:f>
        <x:v>Support Coordination, Navigation &amp; Plan Management</x:v>
      </x:c>
      <x:c r="B22" s="60" t="n">
        <x:f>'Pathways'!C12</x:f>
        <x:v>10</x:v>
      </x:c>
      <x:c r="C22" s="50"/>
      <x:c r="D22" s="50"/>
      <x:c r="E22" s="50"/>
      <x:c r="F22" s="50"/>
      <x:c r="G22" s="50"/>
      <x:c r="H22" s="50"/>
      <x:c r="I22" s="50"/>
      <x:c r="J22" s="50"/>
    </x:row>
    <x:row r="23">
      <x:c r="A23" s="60" t="str">
        <x:f>'Pathways'!B13</x:f>
        <x:v>Provider Governance, Quality &amp; Compliance</x:v>
      </x:c>
      <x:c r="B23" s="60" t="n">
        <x:f>'Pathways'!C13</x:f>
        <x:v>10</x:v>
      </x:c>
      <x:c r="C23" s="50"/>
      <x:c r="D23" s="50"/>
      <x:c r="E23" s="50"/>
      <x:c r="F23" s="50"/>
      <x:c r="G23" s="50"/>
      <x:c r="H23" s="50"/>
      <x:c r="I23" s="50"/>
      <x:c r="J23" s="50"/>
    </x:row>
    <x:row r="24">
      <x:c r="A24" s="60" t="str">
        <x:f>'Pathways'!B14</x:f>
        <x:v>Workforce Leadership &amp; Provider Operations</x:v>
      </x:c>
      <x:c r="B24" s="60" t="n">
        <x:f>'Pathways'!C14</x:f>
        <x:v>10</x:v>
      </x:c>
      <x:c r="C24" s="50"/>
      <x:c r="D24" s="50"/>
      <x:c r="E24" s="50"/>
      <x:c r="F24" s="50"/>
      <x:c r="G24" s="50"/>
      <x:c r="H24" s="50"/>
      <x:c r="I24" s="50"/>
      <x:c r="J24" s="50"/>
    </x:row>
    <x:row r="25">
      <x:c r="A25" s="60" t="str">
        <x:f>'Pathways'!B15</x:f>
        <x:v>Digital Practice, Data, AI &amp; Cybersecurity</x:v>
      </x:c>
      <x:c r="B25" s="60" t="n">
        <x:f>'Pathways'!C15</x:f>
        <x:v>10</x:v>
      </x:c>
      <x:c r="C25" s="50"/>
      <x:c r="D25" s="50"/>
      <x:c r="E25" s="50"/>
      <x:c r="F25" s="50"/>
      <x:c r="G25" s="50"/>
      <x:c r="H25" s="50"/>
      <x:c r="I25" s="50"/>
      <x:c r="J25" s="50"/>
    </x:row>
    <x:row r="26">
      <x:c r="A26" s="60" t="str">
        <x:f>'Pathways'!B16</x:f>
        <x:v>Life Stages, Identities &amp; Specialist Contexts</x:v>
      </x:c>
      <x:c r="B26" s="60" t="n">
        <x:f>'Pathways'!C16</x:f>
        <x:v>12</x:v>
      </x:c>
      <x:c r="C26" s="50"/>
      <x:c r="D26" s="50"/>
      <x:c r="E26" s="50"/>
      <x:c r="F26" s="50"/>
      <x:c r="G26" s="50"/>
      <x:c r="H26" s="50"/>
      <x:c r="I26" s="50"/>
      <x:c r="J26" s="50"/>
    </x:row>
    <x:row r="27">
      <x:c r="A27" s="61" t="str">
        <x:f>'Pathways'!B17</x:f>
        <x:v>MapAble Access &amp; Inclusive Environments</x:v>
      </x:c>
      <x:c r="B27" s="61" t="n">
        <x:f>'Pathways'!C17</x:f>
        <x:v>10</x:v>
      </x:c>
      <x:c r="C27" s="50"/>
      <x:c r="D27" s="50"/>
      <x:c r="E27" s="50"/>
      <x:c r="F27" s="50"/>
      <x:c r="G27" s="50"/>
      <x:c r="H27" s="50"/>
      <x:c r="I27" s="50"/>
      <x:c r="J27" s="50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J8"/>
    <x:mergeCell ref="A9:J11"/>
  </x:mergeCells>
  <x:pageMargins left="0.7" right="0.7" top="0.75" bottom="0.75" header="0.3" footer="0.3"/>
  <x:drawing xmlns:r="http://schemas.openxmlformats.org/officeDocument/2006/relationships" r:id="R17d8ff201dd442a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8" hidden="0" customWidth="1"/>
    <x:col min="4" max="4" width="36" hidden="0" customWidth="1"/>
    <x:col min="5" max="5" width="14" hidden="0" customWidth="1"/>
    <x:col min="6" max="6" width="32" hidden="0" customWidth="1"/>
    <x:col min="7" max="7" width="14" hidden="0" customWidth="1"/>
    <x:col min="8" max="8" width="40" hidden="0" customWidth="1"/>
    <x:col min="9" max="9" width="38" hidden="0" customWidth="1"/>
    <x:col min="10" max="10" width="28" hidden="0" customWidth="1"/>
    <x:col min="11" max="11" width="38" hidden="0" customWidth="1"/>
    <x:col min="12" max="12" width="18" hidden="0" customWidth="1"/>
    <x:col min="13" max="13" width="22" hidden="0" customWidth="1"/>
    <x:col min="14" max="14" width="22" hidden="0" customWidth="1"/>
    <x:col min="15" max="15" width="15" hidden="0" customWidth="1"/>
    <x:col min="16" max="16" width="30" hidden="0" customWidth="1"/>
    <x:col min="17" max="17" width="36" hidden="0" customWidth="1"/>
    <x:col min="18" max="18" width="52" hidden="0" customWidth="1"/>
    <x:col min="19" max="19" width="48" hidden="0" customWidth="1"/>
    <x:col min="20" max="20" width="52" hidden="0" customWidth="1"/>
  </x:cols>
  <x:sheetData>
    <x:row r="1" ht="34" customHeight="1">
      <x:c r="A1" s="67" t="str">
        <x:v>Master Course Catalogue</x:v>
      </x:c>
      <x:c r="B1" s="67" t="str">
        <x:v>Master Course Catalogue</x:v>
      </x:c>
      <x:c r="C1" s="67" t="str">
        <x:v>Master Course Catalogue</x:v>
      </x:c>
      <x:c r="D1" s="67" t="str">
        <x:v>Master Course Catalogue</x:v>
      </x:c>
      <x:c r="E1" s="67" t="str">
        <x:v>Master Course Catalogue</x:v>
      </x:c>
      <x:c r="F1" s="67" t="str">
        <x:v>Master Course Catalogue</x:v>
      </x:c>
      <x:c r="G1" s="67" t="str">
        <x:v>Master Course Catalogue</x:v>
      </x:c>
      <x:c r="H1" s="67" t="str">
        <x:v>Master Course Catalogue</x:v>
      </x:c>
      <x:c r="I1" s="67" t="str">
        <x:v>Master Course Catalogue</x:v>
      </x:c>
      <x:c r="J1" s="67" t="str">
        <x:v>Master Course Catalogue</x:v>
      </x:c>
      <x:c r="K1" s="67" t="str">
        <x:v>Master Course Catalogue</x:v>
      </x:c>
      <x:c r="L1" s="67" t="str">
        <x:v>Master Course Catalogue</x:v>
      </x:c>
      <x:c r="M1" s="67" t="str">
        <x:v>Master Course Catalogue</x:v>
      </x:c>
      <x:c r="N1" s="67" t="str">
        <x:v>Master Course Catalogue</x:v>
      </x:c>
      <x:c r="O1" s="67" t="str">
        <x:v>Master Course Catalogue</x:v>
      </x:c>
      <x:c r="P1" s="67" t="str">
        <x:v>Master Course Catalogue</x:v>
      </x:c>
      <x:c r="Q1" s="67" t="str">
        <x:v>Master Course Catalogue</x:v>
      </x:c>
      <x:c r="R1" s="67" t="str">
        <x:v>Master Course Catalogue</x:v>
      </x:c>
      <x:c r="S1" s="67" t="str">
        <x:v>Master Course Catalogue</x:v>
      </x:c>
      <x:c r="T1" s="67" t="str">
        <x:v>Master Course Catalogue</x:v>
      </x:c>
    </x:row>
    <x:row r="2" ht="32" customHeight="1">
      <x:c r="A2" s="68" t="str">
        <x:v>Filter by school, audience, level, release wave or review requirement. The table is the curriculum source of truth.</x:v>
      </x:c>
      <x:c r="B2" s="68" t="str">
        <x:v>Filter by school, audience, level, release wave or review requirement. The table is the curriculum source of truth.</x:v>
      </x:c>
      <x:c r="C2" s="68" t="str">
        <x:v>Filter by school, audience, level, release wave or review requirement. The table is the curriculum source of truth.</x:v>
      </x:c>
      <x:c r="D2" s="68" t="str">
        <x:v>Filter by school, audience, level, release wave or review requirement. The table is the curriculum source of truth.</x:v>
      </x:c>
      <x:c r="E2" s="68" t="str">
        <x:v>Filter by school, audience, level, release wave or review requirement. The table is the curriculum source of truth.</x:v>
      </x:c>
      <x:c r="F2" s="68" t="str">
        <x:v>Filter by school, audience, level, release wave or review requirement. The table is the curriculum source of truth.</x:v>
      </x:c>
      <x:c r="G2" s="68" t="str">
        <x:v>Filter by school, audience, level, release wave or review requirement. The table is the curriculum source of truth.</x:v>
      </x:c>
      <x:c r="H2" s="68" t="str">
        <x:v>Filter by school, audience, level, release wave or review requirement. The table is the curriculum source of truth.</x:v>
      </x:c>
      <x:c r="I2" s="68" t="str">
        <x:v>Filter by school, audience, level, release wave or review requirement. The table is the curriculum source of truth.</x:v>
      </x:c>
      <x:c r="J2" s="68" t="str">
        <x:v>Filter by school, audience, level, release wave or review requirement. The table is the curriculum source of truth.</x:v>
      </x:c>
      <x:c r="K2" s="68" t="str">
        <x:v>Filter by school, audience, level, release wave or review requirement. The table is the curriculum source of truth.</x:v>
      </x:c>
      <x:c r="L2" s="68" t="str">
        <x:v>Filter by school, audience, level, release wave or review requirement. The table is the curriculum source of truth.</x:v>
      </x:c>
      <x:c r="M2" s="68" t="str">
        <x:v>Filter by school, audience, level, release wave or review requirement. The table is the curriculum source of truth.</x:v>
      </x:c>
      <x:c r="N2" s="68" t="str">
        <x:v>Filter by school, audience, level, release wave or review requirement. The table is the curriculum source of truth.</x:v>
      </x:c>
      <x:c r="O2" s="68" t="str">
        <x:v>Filter by school, audience, level, release wave or review requirement. The table is the curriculum source of truth.</x:v>
      </x:c>
      <x:c r="P2" s="68" t="str">
        <x:v>Filter by school, audience, level, release wave or review requirement. The table is the curriculum source of truth.</x:v>
      </x:c>
      <x:c r="Q2" s="68" t="str">
        <x:v>Filter by school, audience, level, release wave or review requirement. The table is the curriculum source of truth.</x:v>
      </x:c>
      <x:c r="R2" s="68" t="str">
        <x:v>Filter by school, audience, level, release wave or review requirement. The table is the curriculum source of truth.</x:v>
      </x:c>
      <x:c r="S2" s="68" t="str">
        <x:v>Filter by school, audience, level, release wave or review requirement. The table is the curriculum source of truth.</x:v>
      </x:c>
      <x:c r="T2" s="68" t="str">
        <x:v>Filter by school, audience, level, release wave or review requirement. The table is the curriculum source of truth.</x:v>
      </x:c>
    </x:row>
    <x:row r="3" ht="34" customHeight="1">
      <x:c r="A3" s="69" t="str">
        <x:v>Course Code</x:v>
      </x:c>
      <x:c r="B3" s="69" t="str">
        <x:v>School</x:v>
      </x:c>
      <x:c r="C3" s="69" t="str">
        <x:v>Course Title</x:v>
      </x:c>
      <x:c r="D3" s="69" t="str">
        <x:v>Primary Audience</x:v>
      </x:c>
      <x:c r="E3" s="69" t="str">
        <x:v>Level</x:v>
      </x:c>
      <x:c r="F3" s="69" t="str">
        <x:v>Delivery Format</x:v>
      </x:c>
      <x:c r="G3" s="69" t="str">
        <x:v>Duration (min)</x:v>
      </x:c>
      <x:c r="H3" s="69" t="str">
        <x:v>Assessment</x:v>
      </x:c>
      <x:c r="I3" s="69" t="str">
        <x:v>Credential</x:v>
      </x:c>
      <x:c r="J3" s="69" t="str">
        <x:v>Suggested Review Cycle</x:v>
      </x:c>
      <x:c r="K3" s="69" t="str">
        <x:v>Practical Assessment Required</x:v>
      </x:c>
      <x:c r="L3" s="69" t="str">
        <x:v>Clinical Review Required</x:v>
      </x:c>
      <x:c r="M3" s="69" t="str">
        <x:v>Disability-Led Review</x:v>
      </x:c>
      <x:c r="N3" s="69" t="str">
        <x:v>Release Wave</x:v>
      </x:c>
      <x:c r="O3" s="69" t="str">
        <x:v>Status</x:v>
      </x:c>
      <x:c r="P3" s="69" t="str">
        <x:v>Pathway Badge</x:v>
      </x:c>
      <x:c r="Q3" s="69" t="str">
        <x:v>NDIS / Framework Tags</x:v>
      </x:c>
      <x:c r="R3" s="69" t="str">
        <x:v>Indicative Learning Outcome</x:v>
      </x:c>
      <x:c r="S3" s="69" t="str">
        <x:v>Authoritative Source URL</x:v>
      </x:c>
      <x:c r="T3" s="69" t="str">
        <x:v>Governance Note</x:v>
      </x:c>
    </x:row>
    <x:row r="4">
      <x:c r="A4" s="62" t="str">
        <x:v>FND-101</x:v>
      </x:c>
      <x:c r="B4" s="63" t="str">
        <x:v>Foundations &amp; Professional Practice</x:v>
      </x:c>
      <x:c r="C4" s="63" t="str">
        <x:v>Welcome to the Disability Sector</x:v>
      </x:c>
      <x:c r="D4" s="63" t="str">
        <x:v>New and existing support workers; workers entering the disability sector</x:v>
      </x:c>
      <x:c r="E4" s="63" t="str">
        <x:v>Foundation</x:v>
      </x:c>
      <x:c r="F4" s="63" t="str">
        <x:v>Microlearning + knowledge check</x:v>
      </x:c>
      <x:c r="G4" s="64" t="n">
        <x:v>20</x:v>
      </x:c>
      <x:c r="H4" s="63" t="str">
        <x:v>Knowledge quiz and scenario check</x:v>
      </x:c>
      <x:c r="I4" s="63" t="str">
        <x:v>MapAble Academy Certificate of Completion (non-accredited professional development)</x:v>
      </x:c>
      <x:c r="J4" s="63" t="str">
        <x:v>24 months; confirm through provider risk assessment</x:v>
      </x:c>
      <x:c r="K4" s="63" t="str">
        <x:v>No – unless required by employer, support plan or risk assessment</x:v>
      </x:c>
      <x:c r="L4" s="63" t="str">
        <x:v>No</x:v>
      </x:c>
      <x:c r="M4" s="63" t="str">
        <x:v>Required before publication</x:v>
      </x:c>
      <x:c r="N4" s="63" t="str">
        <x:v>Wave 1 – Launch</x:v>
      </x:c>
      <x:c r="O4" s="63" t="str">
        <x:v>Planned</x:v>
      </x:c>
      <x:c r="P4" s="63" t="str">
        <x:v>MapAble Foundations</x:v>
      </x:c>
      <x:c r="Q4" s="63" t="str">
        <x:v>Code of Conduct; Core Module; Workforce Capability Framework</x:v>
      </x:c>
      <x:c r="R4" s="63" t="str">
        <x:v>Apply the core principles of welcome to the disability sector within role scope, participant preferences and organisational escalation pathways.</x:v>
      </x:c>
      <x:c r="S4" s="63" t="str">
        <x:v>https://www.ndiscommission.gov.au/workforce/training-workers/guide-for-ndis-providers/training-your-workers</x:v>
      </x:c>
      <x:c r="T4" s="63" t="str">
        <x:v>Course mapping supports evidence and capability development; it does not guarantee provider compliance.</x:v>
      </x:c>
    </x:row>
    <x:row r="5">
      <x:c r="A5" s="62" t="str">
        <x:v>FND-102</x:v>
      </x:c>
      <x:c r="B5" s="63" t="str">
        <x:v>Foundations &amp; Professional Practice</x:v>
      </x:c>
      <x:c r="C5" s="63" t="str">
        <x:v>NDIS Essentials for Support Workers</x:v>
      </x:c>
      <x:c r="D5" s="63" t="str">
        <x:v>New and existing support workers; workers entering the disability sector</x:v>
      </x:c>
      <x:c r="E5" s="63" t="str">
        <x:v>Foundation</x:v>
      </x:c>
      <x:c r="F5" s="63" t="str">
        <x:v>Self-paced eLearning</x:v>
      </x:c>
      <x:c r="G5" s="64" t="n">
        <x:v>30</x:v>
      </x:c>
      <x:c r="H5" s="63" t="str">
        <x:v>Knowledge quiz and scenario check</x:v>
      </x:c>
      <x:c r="I5" s="63" t="str">
        <x:v>MapAble Academy Certificate of Completion (non-accredited professional development)</x:v>
      </x:c>
      <x:c r="J5" s="63" t="str">
        <x:v>24 months; confirm through provider risk assessment</x:v>
      </x:c>
      <x:c r="K5" s="63" t="str">
        <x:v>No – unless required by employer, support plan or risk assessment</x:v>
      </x:c>
      <x:c r="L5" s="63" t="str">
        <x:v>No</x:v>
      </x:c>
      <x:c r="M5" s="63" t="str">
        <x:v>Required before publication</x:v>
      </x:c>
      <x:c r="N5" s="63" t="str">
        <x:v>Wave 1 – Launch</x:v>
      </x:c>
      <x:c r="O5" s="63" t="str">
        <x:v>Planned</x:v>
      </x:c>
      <x:c r="P5" s="63" t="str">
        <x:v>MapAble Foundations</x:v>
      </x:c>
      <x:c r="Q5" s="63" t="str">
        <x:v>Code of Conduct; Core Module; Workforce Capability Framework</x:v>
      </x:c>
      <x:c r="R5" s="63" t="str">
        <x:v>Apply the core principles of ndis essentials for support workers within role scope, participant preferences and organisational escalation pathways.</x:v>
      </x:c>
      <x:c r="S5" s="63" t="str">
        <x:v>https://www.ndiscommission.gov.au/workforce/training-workers/guide-for-ndis-providers/training-your-workers</x:v>
      </x:c>
      <x:c r="T5" s="63" t="str">
        <x:v>Course mapping supports evidence and capability development; it does not guarantee provider compliance.</x:v>
      </x:c>
    </x:row>
    <x:row r="6">
      <x:c r="A6" s="62" t="str">
        <x:v>FND-103</x:v>
      </x:c>
      <x:c r="B6" s="63" t="str">
        <x:v>Foundations &amp; Professional Practice</x:v>
      </x:c>
      <x:c r="C6" s="63" t="str">
        <x:v>NDIS Essentials for Managers</x:v>
      </x:c>
      <x:c r="D6" s="63" t="str">
        <x:v>New and existing support workers; workers entering the disability sector</x:v>
      </x:c>
      <x:c r="E6" s="63" t="str">
        <x:v>Foundation</x:v>
      </x:c>
      <x:c r="F6" s="63" t="str">
        <x:v>Self-paced eLearning</x:v>
      </x:c>
      <x:c r="G6" s="64" t="n">
        <x:v>40</x:v>
      </x:c>
      <x:c r="H6" s="63" t="str">
        <x:v>Knowledge quiz and scenario check</x:v>
      </x:c>
      <x:c r="I6" s="63" t="str">
        <x:v>MapAble Academy Certificate of Completion (non-accredited professional development)</x:v>
      </x:c>
      <x:c r="J6" s="63" t="str">
        <x:v>24 months; confirm through provider risk assessment</x:v>
      </x:c>
      <x:c r="K6" s="63" t="str">
        <x:v>No – unless required by employer, support plan or risk assessment</x:v>
      </x:c>
      <x:c r="L6" s="63" t="str">
        <x:v>No</x:v>
      </x:c>
      <x:c r="M6" s="63" t="str">
        <x:v>Required before publication</x:v>
      </x:c>
      <x:c r="N6" s="63" t="str">
        <x:v>Wave 1 – Launch</x:v>
      </x:c>
      <x:c r="O6" s="63" t="str">
        <x:v>Planned</x:v>
      </x:c>
      <x:c r="P6" s="63" t="str">
        <x:v>MapAble Foundations</x:v>
      </x:c>
      <x:c r="Q6" s="63" t="str">
        <x:v>Code of Conduct; Core Module; Workforce Capability Framework</x:v>
      </x:c>
      <x:c r="R6" s="63" t="str">
        <x:v>Apply the core principles of ndis essentials for managers within role scope, participant preferences and organisational escalation pathways.</x:v>
      </x:c>
      <x:c r="S6" s="63" t="str">
        <x:v>https://www.ndiscommission.gov.au/workforce/training-workers/guide-for-ndis-providers/training-your-workers</x:v>
      </x:c>
      <x:c r="T6" s="63" t="str">
        <x:v>Course mapping supports evidence and capability development; it does not guarantee provider compliance.</x:v>
      </x:c>
    </x:row>
    <x:row r="7">
      <x:c r="A7" s="62" t="str">
        <x:v>FND-104</x:v>
      </x:c>
      <x:c r="B7" s="63" t="str">
        <x:v>Foundations &amp; Professional Practice</x:v>
      </x:c>
      <x:c r="C7" s="63" t="str">
        <x:v>The NDIS Code of Conduct in Practice</x:v>
      </x:c>
      <x:c r="D7" s="63" t="str">
        <x:v>New and existing support workers; workers entering the disability sector</x:v>
      </x:c>
      <x:c r="E7" s="63" t="str">
        <x:v>Intermediate</x:v>
      </x:c>
      <x:c r="F7" s="63" t="str">
        <x:v>Scenario-based eLearning</x:v>
      </x:c>
      <x:c r="G7" s="64" t="n">
        <x:v>50</x:v>
      </x:c>
      <x:c r="H7" s="63" t="str">
        <x:v>Knowledge quiz and scenario check</x:v>
      </x:c>
      <x:c r="I7" s="63" t="str">
        <x:v>MapAble Academy Certificate of Completion (non-accredited professional development)</x:v>
      </x:c>
      <x:c r="J7" s="63" t="str">
        <x:v>24 months; confirm through provider risk assessment</x:v>
      </x:c>
      <x:c r="K7" s="63" t="str">
        <x:v>No – unless required by employer, support plan or risk assessment</x:v>
      </x:c>
      <x:c r="L7" s="63" t="str">
        <x:v>No</x:v>
      </x:c>
      <x:c r="M7" s="63" t="str">
        <x:v>Required before publication</x:v>
      </x:c>
      <x:c r="N7" s="63" t="str">
        <x:v>Wave 1 – Launch</x:v>
      </x:c>
      <x:c r="O7" s="63" t="str">
        <x:v>Planned</x:v>
      </x:c>
      <x:c r="P7" s="63" t="str">
        <x:v>MapAble Foundations</x:v>
      </x:c>
      <x:c r="Q7" s="63" t="str">
        <x:v>Code of Conduct; Core Module; Workforce Capability Framework</x:v>
      </x:c>
      <x:c r="R7" s="63" t="str">
        <x:v>Apply the core principles of the ndis code of conduct in practice within role scope, participant preferences and organisational escalation pathways.</x:v>
      </x:c>
      <x:c r="S7" s="63" t="str">
        <x:v>https://www.ndiscommission.gov.au/workforce/training-workers/guide-for-ndis-providers/training-your-workers</x:v>
      </x:c>
      <x:c r="T7" s="63" t="str">
        <x:v>Course mapping supports evidence and capability development; it does not guarantee provider compliance.</x:v>
      </x:c>
    </x:row>
    <x:row r="8">
      <x:c r="A8" s="62" t="str">
        <x:v>FND-105</x:v>
      </x:c>
      <x:c r="B8" s="63" t="str">
        <x:v>Foundations &amp; Professional Practice</x:v>
      </x:c>
      <x:c r="C8" s="63" t="str">
        <x:v>The Support Worker Role, Scope and Accountability</x:v>
      </x:c>
      <x:c r="D8" s="63" t="str">
        <x:v>New and existing support workers; workers entering the disability sector</x:v>
      </x:c>
      <x:c r="E8" s="63" t="str">
        <x:v>Intermediate</x:v>
      </x:c>
      <x:c r="F8" s="63" t="str">
        <x:v>Microlearning + knowledge check</x:v>
      </x:c>
      <x:c r="G8" s="64" t="n">
        <x:v>20</x:v>
      </x:c>
      <x:c r="H8" s="63" t="str">
        <x:v>Knowledge quiz and scenario check</x:v>
      </x:c>
      <x:c r="I8" s="63" t="str">
        <x:v>MapAble Academy Certificate of Completion (non-accredited professional development)</x:v>
      </x:c>
      <x:c r="J8" s="63" t="str">
        <x:v>24 months; confirm through provider risk assessment</x:v>
      </x:c>
      <x:c r="K8" s="63" t="str">
        <x:v>No – unless required by employer, support plan or risk assessment</x:v>
      </x:c>
      <x:c r="L8" s="63" t="str">
        <x:v>No</x:v>
      </x:c>
      <x:c r="M8" s="63" t="str">
        <x:v>Required before publication</x:v>
      </x:c>
      <x:c r="N8" s="63" t="str">
        <x:v>Wave 1 – Launch</x:v>
      </x:c>
      <x:c r="O8" s="63" t="str">
        <x:v>Planned</x:v>
      </x:c>
      <x:c r="P8" s="63" t="str">
        <x:v>MapAble Foundations</x:v>
      </x:c>
      <x:c r="Q8" s="63" t="str">
        <x:v>Code of Conduct; Core Module; Workforce Capability Framework</x:v>
      </x:c>
      <x:c r="R8" s="63" t="str">
        <x:v>Apply the core principles of the support worker role, scope and accountability within role scope, participant preferences and organisational escalation pathways.</x:v>
      </x:c>
      <x:c r="S8" s="63" t="str">
        <x:v>https://www.ndiscommission.gov.au/workforce/training-workers/guide-for-ndis-providers/training-your-workers</x:v>
      </x:c>
      <x:c r="T8" s="63" t="str">
        <x:v>Course mapping supports evidence and capability development; it does not guarantee provider compliance.</x:v>
      </x:c>
    </x:row>
    <x:row r="9">
      <x:c r="A9" s="62" t="str">
        <x:v>FND-106</x:v>
      </x:c>
      <x:c r="B9" s="63" t="str">
        <x:v>Foundations &amp; Professional Practice</x:v>
      </x:c>
      <x:c r="C9" s="63" t="str">
        <x:v>Person-Centred Active Support</x:v>
      </x:c>
      <x:c r="D9" s="63" t="str">
        <x:v>New and existing support workers; workers entering the disability sector</x:v>
      </x:c>
      <x:c r="E9" s="63" t="str">
        <x:v>Intermediate</x:v>
      </x:c>
      <x:c r="F9" s="63" t="str">
        <x:v>Self-paced eLearning</x:v>
      </x:c>
      <x:c r="G9" s="64" t="n">
        <x:v>30</x:v>
      </x:c>
      <x:c r="H9" s="63" t="str">
        <x:v>Knowledge quiz and scenario check</x:v>
      </x:c>
      <x:c r="I9" s="63" t="str">
        <x:v>MapAble Academy Certificate of Completion (non-accredited professional development)</x:v>
      </x:c>
      <x:c r="J9" s="63" t="str">
        <x:v>24 months; confirm through provider risk assessment</x:v>
      </x:c>
      <x:c r="K9" s="63" t="str">
        <x:v>No – unless required by employer, support plan or risk assessment</x:v>
      </x:c>
      <x:c r="L9" s="63" t="str">
        <x:v>No</x:v>
      </x:c>
      <x:c r="M9" s="63" t="str">
        <x:v>Required before publication</x:v>
      </x:c>
      <x:c r="N9" s="63" t="str">
        <x:v>Wave 1 – Launch</x:v>
      </x:c>
      <x:c r="O9" s="63" t="str">
        <x:v>Planned</x:v>
      </x:c>
      <x:c r="P9" s="63" t="str">
        <x:v>MapAble Foundations</x:v>
      </x:c>
      <x:c r="Q9" s="63" t="str">
        <x:v>Code of Conduct; Core Module; Workforce Capability Framework</x:v>
      </x:c>
      <x:c r="R9" s="63" t="str">
        <x:v>Apply the core principles of person-centred active support within role scope, participant preferences and organisational escalation pathways.</x:v>
      </x:c>
      <x:c r="S9" s="63" t="str">
        <x:v>https://www.ndiscommission.gov.au/workforce/training-workers/guide-for-ndis-providers/training-your-workers</x:v>
      </x:c>
      <x:c r="T9" s="63" t="str">
        <x:v>Course mapping supports evidence and capability development; it does not guarantee provider compliance.</x:v>
      </x:c>
    </x:row>
    <x:row r="10">
      <x:c r="A10" s="62" t="str">
        <x:v>FND-107</x:v>
      </x:c>
      <x:c r="B10" s="63" t="str">
        <x:v>Foundations &amp; Professional Practice</x:v>
      </x:c>
      <x:c r="C10" s="63" t="str">
        <x:v>Professional Boundaries and Conflicts of Interest</x:v>
      </x:c>
      <x:c r="D10" s="63" t="str">
        <x:v>New and existing support workers; workers entering the disability sector</x:v>
      </x:c>
      <x:c r="E10" s="63" t="str">
        <x:v>Intermediate</x:v>
      </x:c>
      <x:c r="F10" s="63" t="str">
        <x:v>Self-paced eLearning</x:v>
      </x:c>
      <x:c r="G10" s="64" t="n">
        <x:v>40</x:v>
      </x:c>
      <x:c r="H10" s="63" t="str">
        <x:v>Knowledge quiz and scenario check</x:v>
      </x:c>
      <x:c r="I10" s="63" t="str">
        <x:v>MapAble Academy Certificate of Completion (non-accredited professional development)</x:v>
      </x:c>
      <x:c r="J10" s="63" t="str">
        <x:v>24 months; confirm through provider risk assessment</x:v>
      </x:c>
      <x:c r="K10" s="63" t="str">
        <x:v>No – unless required by employer, support plan or risk assessment</x:v>
      </x:c>
      <x:c r="L10" s="63" t="str">
        <x:v>No</x:v>
      </x:c>
      <x:c r="M10" s="63" t="str">
        <x:v>Required before publication</x:v>
      </x:c>
      <x:c r="N10" s="63" t="str">
        <x:v>Wave 1 – Launch</x:v>
      </x:c>
      <x:c r="O10" s="63" t="str">
        <x:v>Planned</x:v>
      </x:c>
      <x:c r="P10" s="63" t="str">
        <x:v>MapAble Foundations</x:v>
      </x:c>
      <x:c r="Q10" s="63" t="str">
        <x:v>Code of Conduct; Core Module; Workforce Capability Framework</x:v>
      </x:c>
      <x:c r="R10" s="63" t="str">
        <x:v>Apply the core principles of professional boundaries and conflicts of interest within role scope, participant preferences and organisational escalation pathways.</x:v>
      </x:c>
      <x:c r="S10" s="63" t="str">
        <x:v>https://www.ndiscommission.gov.au/workforce/training-workers/guide-for-ndis-providers/training-your-workers</x:v>
      </x:c>
      <x:c r="T10" s="63" t="str">
        <x:v>Course mapping supports evidence and capability development; it does not guarantee provider compliance.</x:v>
      </x:c>
    </x:row>
    <x:row r="11">
      <x:c r="A11" s="62" t="str">
        <x:v>FND-108</x:v>
      </x:c>
      <x:c r="B11" s="63" t="str">
        <x:v>Foundations &amp; Professional Practice</x:v>
      </x:c>
      <x:c r="C11" s="63" t="str">
        <x:v>Respectful Shift Notes and Record-Keeping</x:v>
      </x:c>
      <x:c r="D11" s="63" t="str">
        <x:v>New and existing support workers; workers entering the disability sector</x:v>
      </x:c>
      <x:c r="E11" s="63" t="str">
        <x:v>Advanced</x:v>
      </x:c>
      <x:c r="F11" s="63" t="str">
        <x:v>Scenario-based eLearning</x:v>
      </x:c>
      <x:c r="G11" s="64" t="n">
        <x:v>50</x:v>
      </x:c>
      <x:c r="H11" s="63" t="str">
        <x:v>Knowledge quiz and scenario check</x:v>
      </x:c>
      <x:c r="I11" s="63" t="str">
        <x:v>MapAble Academy Certificate of Completion (non-accredited professional development)</x:v>
      </x:c>
      <x:c r="J11" s="63" t="str">
        <x:v>24 months; confirm through provider risk assessment</x:v>
      </x:c>
      <x:c r="K11" s="63" t="str">
        <x:v>No – unless required by employer, support plan or risk assessment</x:v>
      </x:c>
      <x:c r="L11" s="63" t="str">
        <x:v>No</x:v>
      </x:c>
      <x:c r="M11" s="63" t="str">
        <x:v>Required before publication</x:v>
      </x:c>
      <x:c r="N11" s="63" t="str">
        <x:v>Wave 1 – Launch</x:v>
      </x:c>
      <x:c r="O11" s="63" t="str">
        <x:v>Planned</x:v>
      </x:c>
      <x:c r="P11" s="63" t="str">
        <x:v>MapAble Foundations</x:v>
      </x:c>
      <x:c r="Q11" s="63" t="str">
        <x:v>Code of Conduct; Core Module; Workforce Capability Framework</x:v>
      </x:c>
      <x:c r="R11" s="63" t="str">
        <x:v>Apply the core principles of respectful shift notes and record-keeping within role scope, participant preferences and organisational escalation pathways.</x:v>
      </x:c>
      <x:c r="S11" s="63" t="str">
        <x:v>https://www.ndiscommission.gov.au/workforce/training-workers/guide-for-ndis-providers/training-your-workers</x:v>
      </x:c>
      <x:c r="T11" s="63" t="str">
        <x:v>Course mapping supports evidence and capability development; it does not guarantee provider compliance.</x:v>
      </x:c>
    </x:row>
    <x:row r="12">
      <x:c r="A12" s="62" t="str">
        <x:v>FND-109</x:v>
      </x:c>
      <x:c r="B12" s="63" t="str">
        <x:v>Foundations &amp; Professional Practice</x:v>
      </x:c>
      <x:c r="C12" s="63" t="str">
        <x:v>Working in the Team Around the Person</x:v>
      </x:c>
      <x:c r="D12" s="63" t="str">
        <x:v>New and existing support workers; workers entering the disability sector</x:v>
      </x:c>
      <x:c r="E12" s="63" t="str">
        <x:v>Advanced</x:v>
      </x:c>
      <x:c r="F12" s="63" t="str">
        <x:v>Microlearning + knowledge check</x:v>
      </x:c>
      <x:c r="G12" s="64" t="n">
        <x:v>20</x:v>
      </x:c>
      <x:c r="H12" s="63" t="str">
        <x:v>Knowledge quiz and scenario check</x:v>
      </x:c>
      <x:c r="I12" s="63" t="str">
        <x:v>MapAble Academy Certificate of Completion (non-accredited professional development)</x:v>
      </x:c>
      <x:c r="J12" s="63" t="str">
        <x:v>24 months; confirm through provider risk assessment</x:v>
      </x:c>
      <x:c r="K12" s="63" t="str">
        <x:v>No – unless required by employer, support plan or risk assessment</x:v>
      </x:c>
      <x:c r="L12" s="63" t="str">
        <x:v>No</x:v>
      </x:c>
      <x:c r="M12" s="63" t="str">
        <x:v>Required before publication</x:v>
      </x:c>
      <x:c r="N12" s="63" t="str">
        <x:v>Wave 1 – Launch</x:v>
      </x:c>
      <x:c r="O12" s="63" t="str">
        <x:v>Planned</x:v>
      </x:c>
      <x:c r="P12" s="63" t="str">
        <x:v>MapAble Foundations</x:v>
      </x:c>
      <x:c r="Q12" s="63" t="str">
        <x:v>Code of Conduct; Core Module; Workforce Capability Framework</x:v>
      </x:c>
      <x:c r="R12" s="63" t="str">
        <x:v>Apply the core principles of working in the team around the person within role scope, participant preferences and organisational escalation pathways.</x:v>
      </x:c>
      <x:c r="S12" s="63" t="str">
        <x:v>https://www.ndiscommission.gov.au/workforce/training-workers/guide-for-ndis-providers/training-your-workers</x:v>
      </x:c>
      <x:c r="T12" s="63" t="str">
        <x:v>Course mapping supports evidence and capability development; it does not guarantee provider compliance.</x:v>
      </x:c>
    </x:row>
    <x:row r="13">
      <x:c r="A13" s="62" t="str">
        <x:v>FND-110</x:v>
      </x:c>
      <x:c r="B13" s="63" t="str">
        <x:v>Foundations &amp; Professional Practice</x:v>
      </x:c>
      <x:c r="C13" s="63" t="str">
        <x:v>Reflective Practice, Supervision and Continuous Learning</x:v>
      </x:c>
      <x:c r="D13" s="63" t="str">
        <x:v>New and existing support workers; workers entering the disability sector</x:v>
      </x:c>
      <x:c r="E13" s="63" t="str">
        <x:v>Advanced</x:v>
      </x:c>
      <x:c r="F13" s="63" t="str">
        <x:v>Self-paced eLearning</x:v>
      </x:c>
      <x:c r="G13" s="64" t="n">
        <x:v>30</x:v>
      </x:c>
      <x:c r="H13" s="63" t="str">
        <x:v>Knowledge quiz and scenario check</x:v>
      </x:c>
      <x:c r="I13" s="63" t="str">
        <x:v>MapAble Academy Certificate of Completion (non-accredited professional development)</x:v>
      </x:c>
      <x:c r="J13" s="63" t="str">
        <x:v>24 months; confirm through provider risk assessment</x:v>
      </x:c>
      <x:c r="K13" s="63" t="str">
        <x:v>No – unless required by employer, support plan or risk assessment</x:v>
      </x:c>
      <x:c r="L13" s="63" t="str">
        <x:v>No</x:v>
      </x:c>
      <x:c r="M13" s="63" t="str">
        <x:v>Required before publication</x:v>
      </x:c>
      <x:c r="N13" s="63" t="str">
        <x:v>Wave 1 – Launch</x:v>
      </x:c>
      <x:c r="O13" s="63" t="str">
        <x:v>Planned</x:v>
      </x:c>
      <x:c r="P13" s="63" t="str">
        <x:v>MapAble Foundations</x:v>
      </x:c>
      <x:c r="Q13" s="63" t="str">
        <x:v>Code of Conduct; Core Module; Workforce Capability Framework</x:v>
      </x:c>
      <x:c r="R13" s="63" t="str">
        <x:v>Apply the core principles of reflective practice, supervision and continuous learning within role scope, participant preferences and organisational escalation pathways.</x:v>
      </x:c>
      <x:c r="S13" s="63" t="str">
        <x:v>https://www.ndiscommission.gov.au/workforce/training-workers/guide-for-ndis-providers/training-your-workers</x:v>
      </x:c>
      <x:c r="T13" s="63" t="str">
        <x:v>Course mapping supports evidence and capability development; it does not guarantee provider compliance.</x:v>
      </x:c>
    </x:row>
    <x:row r="14">
      <x:c r="A14" s="62" t="str">
        <x:v>RSC-101</x:v>
      </x:c>
      <x:c r="B14" s="63" t="str">
        <x:v>Rights, Safeguarding &amp; Choice</x:v>
      </x:c>
      <x:c r="C14" s="63" t="str">
        <x:v>Human Rights, the CRPD and Disability Support</x:v>
      </x:c>
      <x:c r="D14" s="63" t="str">
        <x:v>All workers, supervisors, provider leaders and participant representatives</x:v>
      </x:c>
      <x:c r="E14" s="63" t="str">
        <x:v>Foundation</x:v>
      </x:c>
      <x:c r="F14" s="63" t="str">
        <x:v>Microlearning + knowledge check</x:v>
      </x:c>
      <x:c r="G14" s="64" t="n">
        <x:v>20</x:v>
      </x:c>
      <x:c r="H14" s="63" t="str">
        <x:v>Knowledge quiz and scenario check</x:v>
      </x:c>
      <x:c r="I14" s="63" t="str">
        <x:v>MapAble Academy Certificate of Completion (non-accredited professional development)</x:v>
      </x:c>
      <x:c r="J14" s="63" t="str">
        <x:v>24 months; confirm through provider risk assessment</x:v>
      </x:c>
      <x:c r="K14" s="63" t="str">
        <x:v>No – unless required by employer, support plan or risk assessment</x:v>
      </x:c>
      <x:c r="L14" s="63" t="str">
        <x:v>No</x:v>
      </x:c>
      <x:c r="M14" s="63" t="str">
        <x:v>Required before publication</x:v>
      </x:c>
      <x:c r="N14" s="63" t="str">
        <x:v>Wave 1 – Launch</x:v>
      </x:c>
      <x:c r="O14" s="63" t="str">
        <x:v>Planned</x:v>
      </x:c>
      <x:c r="P14" s="63" t="str">
        <x:v>Rights-Respecting Practice</x:v>
      </x:c>
      <x:c r="Q14" s="63" t="str">
        <x:v>Rights and Responsibilities; Code of Conduct; Safeguarding</x:v>
      </x:c>
      <x:c r="R14" s="63" t="str">
        <x:v>Apply the core principles of human rights, the crpd and disability support within role scope, participant preferences and organisational escalation pathways.</x:v>
      </x:c>
      <x:c r="S14" s="63" t="str">
        <x:v>https://www.ndiscommission.gov.au/rules-and-standards/ndis-practice-standards</x:v>
      </x:c>
      <x:c r="T14" s="63" t="str">
        <x:v>Course mapping supports evidence and capability development; it does not guarantee provider compliance.</x:v>
      </x:c>
    </x:row>
    <x:row r="15">
      <x:c r="A15" s="62" t="str">
        <x:v>RSC-102</x:v>
      </x:c>
      <x:c r="B15" s="63" t="str">
        <x:v>Rights, Safeguarding &amp; Choice</x:v>
      </x:c>
      <x:c r="C15" s="63" t="str">
        <x:v>The Social Model of Disability and Recognising Ableism</x:v>
      </x:c>
      <x:c r="D15" s="63" t="str">
        <x:v>All workers, supervisors, provider leaders and participant representatives</x:v>
      </x:c>
      <x:c r="E15" s="63" t="str">
        <x:v>Foundation</x:v>
      </x:c>
      <x:c r="F15" s="63" t="str">
        <x:v>Self-paced eLearning</x:v>
      </x:c>
      <x:c r="G15" s="64" t="n">
        <x:v>30</x:v>
      </x:c>
      <x:c r="H15" s="63" t="str">
        <x:v>Knowledge quiz and scenario check</x:v>
      </x:c>
      <x:c r="I15" s="63" t="str">
        <x:v>MapAble Academy Certificate of Completion (non-accredited professional development)</x:v>
      </x:c>
      <x:c r="J15" s="63" t="str">
        <x:v>24 months; confirm through provider risk assessment</x:v>
      </x:c>
      <x:c r="K15" s="63" t="str">
        <x:v>No – unless required by employer, support plan or risk assessment</x:v>
      </x:c>
      <x:c r="L15" s="63" t="str">
        <x:v>No</x:v>
      </x:c>
      <x:c r="M15" s="63" t="str">
        <x:v>Required before publication</x:v>
      </x:c>
      <x:c r="N15" s="63" t="str">
        <x:v>Wave 1 – Launch</x:v>
      </x:c>
      <x:c r="O15" s="63" t="str">
        <x:v>Planned</x:v>
      </x:c>
      <x:c r="P15" s="63" t="str">
        <x:v>Rights-Respecting Practice</x:v>
      </x:c>
      <x:c r="Q15" s="63" t="str">
        <x:v>Rights and Responsibilities; Code of Conduct; Safeguarding</x:v>
      </x:c>
      <x:c r="R15" s="63" t="str">
        <x:v>Apply the core principles of the social model of disability and recognising ableism within role scope, participant preferences and organisational escalation pathways.</x:v>
      </x:c>
      <x:c r="S15" s="63" t="str">
        <x:v>https://www.ndiscommission.gov.au/rules-and-standards/ndis-practice-standards</x:v>
      </x:c>
      <x:c r="T15" s="63" t="str">
        <x:v>Course mapping supports evidence and capability development; it does not guarantee provider compliance.</x:v>
      </x:c>
    </x:row>
    <x:row r="16">
      <x:c r="A16" s="62" t="str">
        <x:v>RSC-103</x:v>
      </x:c>
      <x:c r="B16" s="63" t="str">
        <x:v>Rights, Safeguarding &amp; Choice</x:v>
      </x:c>
      <x:c r="C16" s="63" t="str">
        <x:v>Choice and Control in Everyday Support</x:v>
      </x:c>
      <x:c r="D16" s="63" t="str">
        <x:v>All workers, supervisors, provider leaders and participant representatives</x:v>
      </x:c>
      <x:c r="E16" s="63" t="str">
        <x:v>Foundation</x:v>
      </x:c>
      <x:c r="F16" s="63" t="str">
        <x:v>Self-paced eLearning</x:v>
      </x:c>
      <x:c r="G16" s="64" t="n">
        <x:v>40</x:v>
      </x:c>
      <x:c r="H16" s="63" t="str">
        <x:v>Knowledge quiz and scenario check</x:v>
      </x:c>
      <x:c r="I16" s="63" t="str">
        <x:v>MapAble Academy Certificate of Completion (non-accredited professional development)</x:v>
      </x:c>
      <x:c r="J16" s="63" t="str">
        <x:v>24 months; confirm through provider risk assessment</x:v>
      </x:c>
      <x:c r="K16" s="63" t="str">
        <x:v>No – unless required by employer, support plan or risk assessment</x:v>
      </x:c>
      <x:c r="L16" s="63" t="str">
        <x:v>No</x:v>
      </x:c>
      <x:c r="M16" s="63" t="str">
        <x:v>Required before publication</x:v>
      </x:c>
      <x:c r="N16" s="63" t="str">
        <x:v>Wave 1 – Launch</x:v>
      </x:c>
      <x:c r="O16" s="63" t="str">
        <x:v>Planned</x:v>
      </x:c>
      <x:c r="P16" s="63" t="str">
        <x:v>Rights-Respecting Practice</x:v>
      </x:c>
      <x:c r="Q16" s="63" t="str">
        <x:v>Rights and Responsibilities; Code of Conduct; Safeguarding</x:v>
      </x:c>
      <x:c r="R16" s="63" t="str">
        <x:v>Apply the core principles of choice and control in everyday support within role scope, participant preferences and organisational escalation pathways.</x:v>
      </x:c>
      <x:c r="S16" s="63" t="str">
        <x:v>https://www.ndiscommission.gov.au/rules-and-standards/ndis-practice-standards</x:v>
      </x:c>
      <x:c r="T16" s="63" t="str">
        <x:v>Course mapping supports evidence and capability development; it does not guarantee provider compliance.</x:v>
      </x:c>
    </x:row>
    <x:row r="17">
      <x:c r="A17" s="62" t="str">
        <x:v>RSC-104</x:v>
      </x:c>
      <x:c r="B17" s="63" t="str">
        <x:v>Rights, Safeguarding &amp; Choice</x:v>
      </x:c>
      <x:c r="C17" s="63" t="str">
        <x:v>Supported Decision-Making in Practice</x:v>
      </x:c>
      <x:c r="D17" s="63" t="str">
        <x:v>All workers, supervisors, provider leaders and participant representatives</x:v>
      </x:c>
      <x:c r="E17" s="63" t="str">
        <x:v>Intermediate</x:v>
      </x:c>
      <x:c r="F17" s="63" t="str">
        <x:v>Scenario-based eLearning</x:v>
      </x:c>
      <x:c r="G17" s="64" t="n">
        <x:v>50</x:v>
      </x:c>
      <x:c r="H17" s="63" t="str">
        <x:v>Scenario assessment and reflective response</x:v>
      </x:c>
      <x:c r="I17" s="63" t="str">
        <x:v>MapAble Academy Certificate of Completion (non-accredited professional development)</x:v>
      </x:c>
      <x:c r="J17" s="63" t="str">
        <x:v>24 months; confirm through provider risk assessment</x:v>
      </x:c>
      <x:c r="K17" s="63" t="str">
        <x:v>No – unless required by employer, support plan or risk assessment</x:v>
      </x:c>
      <x:c r="L17" s="63" t="str">
        <x:v>No</x:v>
      </x:c>
      <x:c r="M17" s="63" t="str">
        <x:v>Required before publication</x:v>
      </x:c>
      <x:c r="N17" s="63" t="str">
        <x:v>Wave 1 – Launch</x:v>
      </x:c>
      <x:c r="O17" s="63" t="str">
        <x:v>Planned</x:v>
      </x:c>
      <x:c r="P17" s="63" t="str">
        <x:v>Rights-Respecting Practice</x:v>
      </x:c>
      <x:c r="Q17" s="63" t="str">
        <x:v>Rights and Responsibilities; Code of Conduct; Safeguarding</x:v>
      </x:c>
      <x:c r="R17" s="63" t="str">
        <x:v>Apply the core principles of supported decision-making in practice within role scope, participant preferences and organisational escalation pathways.</x:v>
      </x:c>
      <x:c r="S17" s="63" t="str">
        <x:v>https://www.ndiscommission.gov.au/rules-and-standards/ndis-practice-standards</x:v>
      </x:c>
      <x:c r="T17" s="63" t="str">
        <x:v>Course mapping supports evidence and capability development; it does not guarantee provider compliance.</x:v>
      </x:c>
    </x:row>
    <x:row r="18">
      <x:c r="A18" s="62" t="str">
        <x:v>RSC-105</x:v>
      </x:c>
      <x:c r="B18" s="63" t="str">
        <x:v>Rights, Safeguarding &amp; Choice</x:v>
      </x:c>
      <x:c r="C18" s="63" t="str">
        <x:v>Dignity of Risk and Positive Risk Enablement</x:v>
      </x:c>
      <x:c r="D18" s="63" t="str">
        <x:v>All workers, supervisors, provider leaders and participant representatives</x:v>
      </x:c>
      <x:c r="E18" s="63" t="str">
        <x:v>Intermediate</x:v>
      </x:c>
      <x:c r="F18" s="63" t="str">
        <x:v>Microlearning + knowledge check</x:v>
      </x:c>
      <x:c r="G18" s="64" t="n">
        <x:v>20</x:v>
      </x:c>
      <x:c r="H18" s="63" t="str">
        <x:v>Scenario assessment and reflective response</x:v>
      </x:c>
      <x:c r="I18" s="63" t="str">
        <x:v>MapAble Academy Certificate of Completion (non-accredited professional development)</x:v>
      </x:c>
      <x:c r="J18" s="63" t="str">
        <x:v>24 months; confirm through provider risk assessment</x:v>
      </x:c>
      <x:c r="K18" s="63" t="str">
        <x:v>No – unless required by employer, support plan or risk assessment</x:v>
      </x:c>
      <x:c r="L18" s="63" t="str">
        <x:v>No</x:v>
      </x:c>
      <x:c r="M18" s="63" t="str">
        <x:v>Required before publication</x:v>
      </x:c>
      <x:c r="N18" s="63" t="str">
        <x:v>Wave 1 – Launch</x:v>
      </x:c>
      <x:c r="O18" s="63" t="str">
        <x:v>Planned</x:v>
      </x:c>
      <x:c r="P18" s="63" t="str">
        <x:v>Rights-Respecting Practice</x:v>
      </x:c>
      <x:c r="Q18" s="63" t="str">
        <x:v>Rights and Responsibilities; Code of Conduct; Safeguarding</x:v>
      </x:c>
      <x:c r="R18" s="63" t="str">
        <x:v>Apply the core principles of dignity of risk and positive risk enablement within role scope, participant preferences and organisational escalation pathways.</x:v>
      </x:c>
      <x:c r="S18" s="63" t="str">
        <x:v>https://www.ndiscommission.gov.au/rules-and-standards/ndis-practice-standards</x:v>
      </x:c>
      <x:c r="T18" s="63" t="str">
        <x:v>Course mapping supports evidence and capability development; it does not guarantee provider compliance.</x:v>
      </x:c>
    </x:row>
    <x:row r="19">
      <x:c r="A19" s="62" t="str">
        <x:v>RSC-106</x:v>
      </x:c>
      <x:c r="B19" s="63" t="str">
        <x:v>Rights, Safeguarding &amp; Choice</x:v>
      </x:c>
      <x:c r="C19" s="63" t="str">
        <x:v>Consent, Bodily Autonomy and Withdrawing Consent</x:v>
      </x:c>
      <x:c r="D19" s="63" t="str">
        <x:v>All workers, supervisors, provider leaders and participant representatives</x:v>
      </x:c>
      <x:c r="E19" s="63" t="str">
        <x:v>Intermediate</x:v>
      </x:c>
      <x:c r="F19" s="63" t="str">
        <x:v>Self-paced eLearning</x:v>
      </x:c>
      <x:c r="G19" s="64" t="n">
        <x:v>30</x:v>
      </x:c>
      <x:c r="H19" s="63" t="str">
        <x:v>Scenario assessment and reflective response</x:v>
      </x:c>
      <x:c r="I19" s="63" t="str">
        <x:v>MapAble Academy Certificate of Completion (non-accredited professional development)</x:v>
      </x:c>
      <x:c r="J19" s="63" t="str">
        <x:v>24 months; confirm through provider risk assessment</x:v>
      </x:c>
      <x:c r="K19" s="63" t="str">
        <x:v>No – unless required by employer, support plan or risk assessment</x:v>
      </x:c>
      <x:c r="L19" s="63" t="str">
        <x:v>No</x:v>
      </x:c>
      <x:c r="M19" s="63" t="str">
        <x:v>Required before publication</x:v>
      </x:c>
      <x:c r="N19" s="63" t="str">
        <x:v>Wave 1 – Launch</x:v>
      </x:c>
      <x:c r="O19" s="63" t="str">
        <x:v>Planned</x:v>
      </x:c>
      <x:c r="P19" s="63" t="str">
        <x:v>Rights-Respecting Practice</x:v>
      </x:c>
      <x:c r="Q19" s="63" t="str">
        <x:v>Rights and Responsibilities; Code of Conduct; Safeguarding</x:v>
      </x:c>
      <x:c r="R19" s="63" t="str">
        <x:v>Apply the core principles of consent, bodily autonomy and withdrawing consent within role scope, participant preferences and organisational escalation pathways.</x:v>
      </x:c>
      <x:c r="S19" s="63" t="str">
        <x:v>https://www.ndiscommission.gov.au/rules-and-standards/ndis-practice-standards</x:v>
      </x:c>
      <x:c r="T19" s="63" t="str">
        <x:v>Course mapping supports evidence and capability development; it does not guarantee provider compliance.</x:v>
      </x:c>
    </x:row>
    <x:row r="20">
      <x:c r="A20" s="62" t="str">
        <x:v>RSC-107</x:v>
      </x:c>
      <x:c r="B20" s="63" t="str">
        <x:v>Rights, Safeguarding &amp; Choice</x:v>
      </x:c>
      <x:c r="C20" s="63" t="str">
        <x:v>Privacy, Dignity and Confidentiality</x:v>
      </x:c>
      <x:c r="D20" s="63" t="str">
        <x:v>All workers, supervisors, provider leaders and participant representatives</x:v>
      </x:c>
      <x:c r="E20" s="63" t="str">
        <x:v>Intermediate</x:v>
      </x:c>
      <x:c r="F20" s="63" t="str">
        <x:v>Self-paced eLearning</x:v>
      </x:c>
      <x:c r="G20" s="64" t="n">
        <x:v>40</x:v>
      </x:c>
      <x:c r="H20" s="63" t="str">
        <x:v>Scenario assessment and reflective response</x:v>
      </x:c>
      <x:c r="I20" s="63" t="str">
        <x:v>MapAble Academy Certificate of Completion (non-accredited professional development)</x:v>
      </x:c>
      <x:c r="J20" s="63" t="str">
        <x:v>24 months; confirm through provider risk assessment</x:v>
      </x:c>
      <x:c r="K20" s="63" t="str">
        <x:v>No – unless required by employer, support plan or risk assessment</x:v>
      </x:c>
      <x:c r="L20" s="63" t="str">
        <x:v>No</x:v>
      </x:c>
      <x:c r="M20" s="63" t="str">
        <x:v>Required before publication</x:v>
      </x:c>
      <x:c r="N20" s="63" t="str">
        <x:v>Wave 2 – Expansion</x:v>
      </x:c>
      <x:c r="O20" s="63" t="str">
        <x:v>Planned</x:v>
      </x:c>
      <x:c r="P20" s="63" t="str">
        <x:v>Rights-Respecting Practice</x:v>
      </x:c>
      <x:c r="Q20" s="63" t="str">
        <x:v>Rights and Responsibilities; Code of Conduct; Safeguarding</x:v>
      </x:c>
      <x:c r="R20" s="63" t="str">
        <x:v>Apply the core principles of privacy, dignity and confidentiality within role scope, participant preferences and organisational escalation pathways.</x:v>
      </x:c>
      <x:c r="S20" s="63" t="str">
        <x:v>https://www.ndiscommission.gov.au/rules-and-standards/ndis-practice-standards</x:v>
      </x:c>
      <x:c r="T20" s="63" t="str">
        <x:v>Course mapping supports evidence and capability development; it does not guarantee provider compliance.</x:v>
      </x:c>
    </x:row>
    <x:row r="21">
      <x:c r="A21" s="62" t="str">
        <x:v>RSC-108</x:v>
      </x:c>
      <x:c r="B21" s="63" t="str">
        <x:v>Rights, Safeguarding &amp; Choice</x:v>
      </x:c>
      <x:c r="C21" s="63" t="str">
        <x:v>Recognising Abuse, Neglect, Exploitation and Violence</x:v>
      </x:c>
      <x:c r="D21" s="63" t="str">
        <x:v>All workers, supervisors, provider leaders and participant representatives</x:v>
      </x:c>
      <x:c r="E21" s="63" t="str">
        <x:v>Advanced</x:v>
      </x:c>
      <x:c r="F21" s="63" t="str">
        <x:v>Scenario-based eLearning</x:v>
      </x:c>
      <x:c r="G21" s="64" t="n">
        <x:v>50</x:v>
      </x:c>
      <x:c r="H21" s="63" t="str">
        <x:v>Scenario assessment and reflective response</x:v>
      </x:c>
      <x:c r="I21" s="63" t="str">
        <x:v>MapAble Academy Certificate of Completion (non-accredited professional development)</x:v>
      </x:c>
      <x:c r="J21" s="63" t="str">
        <x:v>24 months; confirm through provider risk assessment</x:v>
      </x:c>
      <x:c r="K21" s="63" t="str">
        <x:v>No – unless required by employer, support plan or risk assessment</x:v>
      </x:c>
      <x:c r="L21" s="63" t="str">
        <x:v>No</x:v>
      </x:c>
      <x:c r="M21" s="63" t="str">
        <x:v>Required before publication</x:v>
      </x:c>
      <x:c r="N21" s="63" t="str">
        <x:v>Wave 1 – Launch</x:v>
      </x:c>
      <x:c r="O21" s="63" t="str">
        <x:v>Planned</x:v>
      </x:c>
      <x:c r="P21" s="63" t="str">
        <x:v>Rights-Respecting Practice</x:v>
      </x:c>
      <x:c r="Q21" s="63" t="str">
        <x:v>Rights and Responsibilities; Code of Conduct; Safeguarding</x:v>
      </x:c>
      <x:c r="R21" s="63" t="str">
        <x:v>Apply the core principles of recognising abuse, neglect, exploitation and violence within role scope, participant preferences and organisational escalation pathways.</x:v>
      </x:c>
      <x:c r="S21" s="63" t="str">
        <x:v>https://www.ndiscommission.gov.au/rules-and-standards/ndis-practice-standards</x:v>
      </x:c>
      <x:c r="T21" s="63" t="str">
        <x:v>Course mapping supports evidence and capability development; it does not guarantee provider compliance.</x:v>
      </x:c>
    </x:row>
    <x:row r="22">
      <x:c r="A22" s="62" t="str">
        <x:v>RSC-109</x:v>
      </x:c>
      <x:c r="B22" s="63" t="str">
        <x:v>Rights, Safeguarding &amp; Choice</x:v>
      </x:c>
      <x:c r="C22" s="63" t="str">
        <x:v>Sexual Safety, Respectful Relationships and Safeguarding</x:v>
      </x:c>
      <x:c r="D22" s="63" t="str">
        <x:v>All workers, supervisors, provider leaders and participant representatives</x:v>
      </x:c>
      <x:c r="E22" s="63" t="str">
        <x:v>Advanced</x:v>
      </x:c>
      <x:c r="F22" s="63" t="str">
        <x:v>Microlearning + knowledge check</x:v>
      </x:c>
      <x:c r="G22" s="64" t="n">
        <x:v>20</x:v>
      </x:c>
      <x:c r="H22" s="63" t="str">
        <x:v>Scenario assessment and reflective response</x:v>
      </x:c>
      <x:c r="I22" s="63" t="str">
        <x:v>MapAble Academy Certificate of Completion (non-accredited professional development)</x:v>
      </x:c>
      <x:c r="J22" s="63" t="str">
        <x:v>24 months; confirm through provider risk assessment</x:v>
      </x:c>
      <x:c r="K22" s="63" t="str">
        <x:v>No – unless required by employer, support plan or risk assessment</x:v>
      </x:c>
      <x:c r="L22" s="63" t="str">
        <x:v>No</x:v>
      </x:c>
      <x:c r="M22" s="63" t="str">
        <x:v>Required before publication</x:v>
      </x:c>
      <x:c r="N22" s="63" t="str">
        <x:v>Wave 3 – Specialist</x:v>
      </x:c>
      <x:c r="O22" s="63" t="str">
        <x:v>Planned</x:v>
      </x:c>
      <x:c r="P22" s="63" t="str">
        <x:v>Rights-Respecting Practice</x:v>
      </x:c>
      <x:c r="Q22" s="63" t="str">
        <x:v>Rights and Responsibilities; Code of Conduct; Safeguarding</x:v>
      </x:c>
      <x:c r="R22" s="63" t="str">
        <x:v>Apply the core principles of sexual safety, respectful relationships and safeguarding within role scope, participant preferences and organisational escalation pathways.</x:v>
      </x:c>
      <x:c r="S22" s="63" t="str">
        <x:v>https://www.ndiscommission.gov.au/rules-and-standards/ndis-practice-standards</x:v>
      </x:c>
      <x:c r="T22" s="63" t="str">
        <x:v>Course mapping supports evidence and capability development; it does not guarantee provider compliance.</x:v>
      </x:c>
    </x:row>
    <x:row r="23">
      <x:c r="A23" s="62" t="str">
        <x:v>RSC-110</x:v>
      </x:c>
      <x:c r="B23" s="63" t="str">
        <x:v>Rights, Safeguarding &amp; Choice</x:v>
      </x:c>
      <x:c r="C23" s="63" t="str">
        <x:v>Complaints, Incidents, Speaking Up and Whistleblower Protection</x:v>
      </x:c>
      <x:c r="D23" s="63" t="str">
        <x:v>All workers, supervisors, provider leaders and participant representatives</x:v>
      </x:c>
      <x:c r="E23" s="63" t="str">
        <x:v>Advanced</x:v>
      </x:c>
      <x:c r="F23" s="63" t="str">
        <x:v>Self-paced eLearning</x:v>
      </x:c>
      <x:c r="G23" s="64" t="n">
        <x:v>30</x:v>
      </x:c>
      <x:c r="H23" s="63" t="str">
        <x:v>Scenario assessment and reflective response</x:v>
      </x:c>
      <x:c r="I23" s="63" t="str">
        <x:v>MapAble Academy Certificate of Completion (non-accredited professional development)</x:v>
      </x:c>
      <x:c r="J23" s="63" t="str">
        <x:v>24 months; confirm through provider risk assessment</x:v>
      </x:c>
      <x:c r="K23" s="63" t="str">
        <x:v>No – unless required by employer, support plan or risk assessment</x:v>
      </x:c>
      <x:c r="L23" s="63" t="str">
        <x:v>No</x:v>
      </x:c>
      <x:c r="M23" s="63" t="str">
        <x:v>Required before publication</x:v>
      </x:c>
      <x:c r="N23" s="63" t="str">
        <x:v>Wave 2 – Expansion</x:v>
      </x:c>
      <x:c r="O23" s="63" t="str">
        <x:v>Planned</x:v>
      </x:c>
      <x:c r="P23" s="63" t="str">
        <x:v>Rights-Respecting Practice</x:v>
      </x:c>
      <x:c r="Q23" s="63" t="str">
        <x:v>Rights and Responsibilities; Code of Conduct; Safeguarding</x:v>
      </x:c>
      <x:c r="R23" s="63" t="str">
        <x:v>Apply the core principles of complaints, incidents, speaking up and whistleblower protection within role scope, participant preferences and organisational escalation pathways.</x:v>
      </x:c>
      <x:c r="S23" s="63" t="str">
        <x:v>https://www.ndiscommission.gov.au/rules-and-standards/ndis-practice-standards</x:v>
      </x:c>
      <x:c r="T23" s="63" t="str">
        <x:v>Course mapping supports evidence and capability development; it does not guarantee provider compliance.</x:v>
      </x:c>
    </x:row>
    <x:row r="24">
      <x:c r="A24" s="62" t="str">
        <x:v>CAI-101</x:v>
      </x:c>
      <x:c r="B24" s="63" t="str">
        <x:v>Communication, Accessibility &amp; Inclusion</x:v>
      </x:c>
      <x:c r="C24" s="63" t="str">
        <x:v>Inclusive Communication Foundations</x:v>
      </x:c>
      <x:c r="D24" s="63" t="str">
        <x:v>Support workers, frontline leaders, service designers and communication partners</x:v>
      </x:c>
      <x:c r="E24" s="63" t="str">
        <x:v>Foundation</x:v>
      </x:c>
      <x:c r="F24" s="63" t="str">
        <x:v>Microlearning + knowledge check</x:v>
      </x:c>
      <x:c r="G24" s="64" t="n">
        <x:v>20</x:v>
      </x:c>
      <x:c r="H24" s="63" t="str">
        <x:v>Knowledge quiz and scenario check</x:v>
      </x:c>
      <x:c r="I24" s="63" t="str">
        <x:v>MapAble Academy Certificate of Completion (non-accredited professional development)</x:v>
      </x:c>
      <x:c r="J24" s="63" t="str">
        <x:v>24 months; confirm through provider risk assessment</x:v>
      </x:c>
      <x:c r="K24" s="63" t="str">
        <x:v>No – unless required by employer, support plan or risk assessment</x:v>
      </x:c>
      <x:c r="L24" s="63" t="str">
        <x:v>No</x:v>
      </x:c>
      <x:c r="M24" s="63" t="str">
        <x:v>Required before publication</x:v>
      </x:c>
      <x:c r="N24" s="63" t="str">
        <x:v>Wave 1 – Launch</x:v>
      </x:c>
      <x:c r="O24" s="63" t="str">
        <x:v>Planned</x:v>
      </x:c>
      <x:c r="P24" s="63" t="str">
        <x:v>Inclusive Communication</x:v>
      </x:c>
      <x:c r="Q24" s="63" t="str">
        <x:v>Person-Centred Supports; Independence and Informed Choice; Communication Access</x:v>
      </x:c>
      <x:c r="R24" s="63" t="str">
        <x:v>Apply the core principles of inclusive communication foundations within role scope, participant preferences and organisational escalation pathways.</x:v>
      </x:c>
      <x:c r="S24" s="63" t="str">
        <x:v>https://www.ndiscommission.gov.au/workforce/online-training-modules</x:v>
      </x:c>
      <x:c r="T24" s="63" t="str">
        <x:v>Course mapping supports evidence and capability development; it does not guarantee provider compliance.</x:v>
      </x:c>
    </x:row>
    <x:row r="25">
      <x:c r="A25" s="62" t="str">
        <x:v>CAI-102</x:v>
      </x:c>
      <x:c r="B25" s="63" t="str">
        <x:v>Communication, Accessibility &amp; Inclusion</x:v>
      </x:c>
      <x:c r="C25" s="63" t="str">
        <x:v>Augmentative and Alternative Communication Foundations</x:v>
      </x:c>
      <x:c r="D25" s="63" t="str">
        <x:v>Support workers, frontline leaders, service designers and communication partners</x:v>
      </x:c>
      <x:c r="E25" s="63" t="str">
        <x:v>Foundation</x:v>
      </x:c>
      <x:c r="F25" s="63" t="str">
        <x:v>Self-paced eLearning</x:v>
      </x:c>
      <x:c r="G25" s="64" t="n">
        <x:v>30</x:v>
      </x:c>
      <x:c r="H25" s="63" t="str">
        <x:v>Knowledge quiz and scenario check</x:v>
      </x:c>
      <x:c r="I25" s="63" t="str">
        <x:v>MapAble Academy Certificate of Completion (non-accredited professional development)</x:v>
      </x:c>
      <x:c r="J25" s="63" t="str">
        <x:v>24 months; confirm through provider risk assessment</x:v>
      </x:c>
      <x:c r="K25" s="63" t="str">
        <x:v>No – unless required by employer, support plan or risk assessment</x:v>
      </x:c>
      <x:c r="L25" s="63" t="str">
        <x:v>No</x:v>
      </x:c>
      <x:c r="M25" s="63" t="str">
        <x:v>Required before publication</x:v>
      </x:c>
      <x:c r="N25" s="63" t="str">
        <x:v>Wave 1 – Launch</x:v>
      </x:c>
      <x:c r="O25" s="63" t="str">
        <x:v>Planned</x:v>
      </x:c>
      <x:c r="P25" s="63" t="str">
        <x:v>Inclusive Communication</x:v>
      </x:c>
      <x:c r="Q25" s="63" t="str">
        <x:v>Person-Centred Supports; Independence and Informed Choice; Communication Access</x:v>
      </x:c>
      <x:c r="R25" s="63" t="str">
        <x:v>Apply the core principles of augmentative and alternative communication foundations within role scope, participant preferences and organisational escalation pathways.</x:v>
      </x:c>
      <x:c r="S25" s="63" t="str">
        <x:v>https://www.ndiscommission.gov.au/workforce/online-training-modules</x:v>
      </x:c>
      <x:c r="T25" s="63" t="str">
        <x:v>Course mapping supports evidence and capability development; it does not guarantee provider compliance.</x:v>
      </x:c>
    </x:row>
    <x:row r="26">
      <x:c r="A26" s="62" t="str">
        <x:v>CAI-103</x:v>
      </x:c>
      <x:c r="B26" s="63" t="str">
        <x:v>Communication, Accessibility &amp; Inclusion</x:v>
      </x:c>
      <x:c r="C26" s="63" t="str">
        <x:v>Supporting People with Dysarthria and Speech Difference</x:v>
      </x:c>
      <x:c r="D26" s="63" t="str">
        <x:v>Support workers, frontline leaders, service designers and communication partners</x:v>
      </x:c>
      <x:c r="E26" s="63" t="str">
        <x:v>Foundation</x:v>
      </x:c>
      <x:c r="F26" s="63" t="str">
        <x:v>Self-paced eLearning</x:v>
      </x:c>
      <x:c r="G26" s="64" t="n">
        <x:v>40</x:v>
      </x:c>
      <x:c r="H26" s="63" t="str">
        <x:v>Knowledge quiz and scenario check</x:v>
      </x:c>
      <x:c r="I26" s="63" t="str">
        <x:v>MapAble Academy Certificate of Completion (non-accredited professional development)</x:v>
      </x:c>
      <x:c r="J26" s="63" t="str">
        <x:v>24 months; confirm through provider risk assessment</x:v>
      </x:c>
      <x:c r="K26" s="63" t="str">
        <x:v>No – unless required by employer, support plan or risk assessment</x:v>
      </x:c>
      <x:c r="L26" s="63" t="str">
        <x:v>No</x:v>
      </x:c>
      <x:c r="M26" s="63" t="str">
        <x:v>Required before publication</x:v>
      </x:c>
      <x:c r="N26" s="63" t="str">
        <x:v>Wave 1 – Launch</x:v>
      </x:c>
      <x:c r="O26" s="63" t="str">
        <x:v>Planned</x:v>
      </x:c>
      <x:c r="P26" s="63" t="str">
        <x:v>Inclusive Communication</x:v>
      </x:c>
      <x:c r="Q26" s="63" t="str">
        <x:v>Person-Centred Supports; Independence and Informed Choice; Communication Access</x:v>
      </x:c>
      <x:c r="R26" s="63" t="str">
        <x:v>Apply the core principles of supporting people with dysarthria and speech difference within role scope, participant preferences and organisational escalation pathways.</x:v>
      </x:c>
      <x:c r="S26" s="63" t="str">
        <x:v>https://www.ndiscommission.gov.au/workforce/online-training-modules</x:v>
      </x:c>
      <x:c r="T26" s="63" t="str">
        <x:v>Course mapping supports evidence and capability development; it does not guarantee provider compliance.</x:v>
      </x:c>
    </x:row>
    <x:row r="27">
      <x:c r="A27" s="62" t="str">
        <x:v>CAI-104</x:v>
      </x:c>
      <x:c r="B27" s="63" t="str">
        <x:v>Communication, Accessibility &amp; Inclusion</x:v>
      </x:c>
      <x:c r="C27" s="63" t="str">
        <x:v>Communication Passports and Individual Communication Plans</x:v>
      </x:c>
      <x:c r="D27" s="63" t="str">
        <x:v>Support workers, frontline leaders, service designers and communication partners</x:v>
      </x:c>
      <x:c r="E27" s="63" t="str">
        <x:v>Intermediate</x:v>
      </x:c>
      <x:c r="F27" s="63" t="str">
        <x:v>Scenario-based eLearning</x:v>
      </x:c>
      <x:c r="G27" s="64" t="n">
        <x:v>50</x:v>
      </x:c>
      <x:c r="H27" s="63" t="str">
        <x:v>Scenario assessment and reflective response</x:v>
      </x:c>
      <x:c r="I27" s="63" t="str">
        <x:v>MapAble Academy Certificate of Completion (non-accredited professional development)</x:v>
      </x:c>
      <x:c r="J27" s="63" t="str">
        <x:v>24 months; confirm through provider risk assessment</x:v>
      </x:c>
      <x:c r="K27" s="63" t="str">
        <x:v>No – unless required by employer, support plan or risk assessment</x:v>
      </x:c>
      <x:c r="L27" s="63" t="str">
        <x:v>No</x:v>
      </x:c>
      <x:c r="M27" s="63" t="str">
        <x:v>Required before publication</x:v>
      </x:c>
      <x:c r="N27" s="63" t="str">
        <x:v>Wave 1 – Launch</x:v>
      </x:c>
      <x:c r="O27" s="63" t="str">
        <x:v>Planned</x:v>
      </x:c>
      <x:c r="P27" s="63" t="str">
        <x:v>Inclusive Communication</x:v>
      </x:c>
      <x:c r="Q27" s="63" t="str">
        <x:v>Person-Centred Supports; Independence and Informed Choice; Communication Access</x:v>
      </x:c>
      <x:c r="R27" s="63" t="str">
        <x:v>Apply the core principles of communication passports and individual communication plans within role scope, participant preferences and organisational escalation pathways.</x:v>
      </x:c>
      <x:c r="S27" s="63" t="str">
        <x:v>https://www.ndiscommission.gov.au/workforce/online-training-modules</x:v>
      </x:c>
      <x:c r="T27" s="63" t="str">
        <x:v>Course mapping supports evidence and capability development; it does not guarantee provider compliance.</x:v>
      </x:c>
    </x:row>
    <x:row r="28">
      <x:c r="A28" s="62" t="str">
        <x:v>CAI-105</x:v>
      </x:c>
      <x:c r="B28" s="63" t="str">
        <x:v>Communication, Accessibility &amp; Inclusion</x:v>
      </x:c>
      <x:c r="C28" s="63" t="str">
        <x:v>Working Respectfully with Deaf People and Auslan Interpreters</x:v>
      </x:c>
      <x:c r="D28" s="63" t="str">
        <x:v>Support workers, frontline leaders, service designers and communication partners</x:v>
      </x:c>
      <x:c r="E28" s="63" t="str">
        <x:v>Intermediate</x:v>
      </x:c>
      <x:c r="F28" s="63" t="str">
        <x:v>Microlearning + knowledge check</x:v>
      </x:c>
      <x:c r="G28" s="64" t="n">
        <x:v>20</x:v>
      </x:c>
      <x:c r="H28" s="63" t="str">
        <x:v>Scenario assessment and reflective response</x:v>
      </x:c>
      <x:c r="I28" s="63" t="str">
        <x:v>MapAble Academy Certificate of Completion (non-accredited professional development)</x:v>
      </x:c>
      <x:c r="J28" s="63" t="str">
        <x:v>24 months; confirm through provider risk assessment</x:v>
      </x:c>
      <x:c r="K28" s="63" t="str">
        <x:v>No – unless required by employer, support plan or risk assessment</x:v>
      </x:c>
      <x:c r="L28" s="63" t="str">
        <x:v>No</x:v>
      </x:c>
      <x:c r="M28" s="63" t="str">
        <x:v>Required before publication</x:v>
      </x:c>
      <x:c r="N28" s="63" t="str">
        <x:v>Wave 3 – Specialist</x:v>
      </x:c>
      <x:c r="O28" s="63" t="str">
        <x:v>Planned</x:v>
      </x:c>
      <x:c r="P28" s="63" t="str">
        <x:v>Inclusive Communication</x:v>
      </x:c>
      <x:c r="Q28" s="63" t="str">
        <x:v>Person-Centred Supports; Independence and Informed Choice; Communication Access</x:v>
      </x:c>
      <x:c r="R28" s="63" t="str">
        <x:v>Apply the core principles of working respectfully with deaf people and auslan interpreters within role scope, participant preferences and organisational escalation pathways.</x:v>
      </x:c>
      <x:c r="S28" s="63" t="str">
        <x:v>https://www.ndiscommission.gov.au/workforce/online-training-modules</x:v>
      </x:c>
      <x:c r="T28" s="63" t="str">
        <x:v>Course mapping supports evidence and capability development; it does not guarantee provider compliance.</x:v>
      </x:c>
    </x:row>
    <x:row r="29">
      <x:c r="A29" s="62" t="str">
        <x:v>CAI-106</x:v>
      </x:c>
      <x:c r="B29" s="63" t="str">
        <x:v>Communication, Accessibility &amp; Inclusion</x:v>
      </x:c>
      <x:c r="C29" s="63" t="str">
        <x:v>Communication Access for Blindness and Low Vision</x:v>
      </x:c>
      <x:c r="D29" s="63" t="str">
        <x:v>Support workers, frontline leaders, service designers and communication partners</x:v>
      </x:c>
      <x:c r="E29" s="63" t="str">
        <x:v>Intermediate</x:v>
      </x:c>
      <x:c r="F29" s="63" t="str">
        <x:v>Self-paced eLearning</x:v>
      </x:c>
      <x:c r="G29" s="64" t="n">
        <x:v>30</x:v>
      </x:c>
      <x:c r="H29" s="63" t="str">
        <x:v>Scenario assessment and reflective response</x:v>
      </x:c>
      <x:c r="I29" s="63" t="str">
        <x:v>MapAble Academy Certificate of Completion (non-accredited professional development)</x:v>
      </x:c>
      <x:c r="J29" s="63" t="str">
        <x:v>24 months; confirm through provider risk assessment</x:v>
      </x:c>
      <x:c r="K29" s="63" t="str">
        <x:v>No – unless required by employer, support plan or risk assessment</x:v>
      </x:c>
      <x:c r="L29" s="63" t="str">
        <x:v>No</x:v>
      </x:c>
      <x:c r="M29" s="63" t="str">
        <x:v>Required before publication</x:v>
      </x:c>
      <x:c r="N29" s="63" t="str">
        <x:v>Wave 2 – Expansion</x:v>
      </x:c>
      <x:c r="O29" s="63" t="str">
        <x:v>Planned</x:v>
      </x:c>
      <x:c r="P29" s="63" t="str">
        <x:v>Inclusive Communication</x:v>
      </x:c>
      <x:c r="Q29" s="63" t="str">
        <x:v>Person-Centred Supports; Independence and Informed Choice; Communication Access</x:v>
      </x:c>
      <x:c r="R29" s="63" t="str">
        <x:v>Apply the core principles of communication access for blindness and low vision within role scope, participant preferences and organisational escalation pathways.</x:v>
      </x:c>
      <x:c r="S29" s="63" t="str">
        <x:v>https://www.ndiscommission.gov.au/workforce/online-training-modules</x:v>
      </x:c>
      <x:c r="T29" s="63" t="str">
        <x:v>Course mapping supports evidence and capability development; it does not guarantee provider compliance.</x:v>
      </x:c>
    </x:row>
    <x:row r="30">
      <x:c r="A30" s="62" t="str">
        <x:v>CAI-107</x:v>
      </x:c>
      <x:c r="B30" s="63" t="str">
        <x:v>Communication, Accessibility &amp; Inclusion</x:v>
      </x:c>
      <x:c r="C30" s="63" t="str">
        <x:v>Easy Read, Cognitive Accessibility and Plain Language</x:v>
      </x:c>
      <x:c r="D30" s="63" t="str">
        <x:v>Support workers, frontline leaders, service designers and communication partners</x:v>
      </x:c>
      <x:c r="E30" s="63" t="str">
        <x:v>Intermediate</x:v>
      </x:c>
      <x:c r="F30" s="63" t="str">
        <x:v>Self-paced eLearning</x:v>
      </x:c>
      <x:c r="G30" s="64" t="n">
        <x:v>40</x:v>
      </x:c>
      <x:c r="H30" s="63" t="str">
        <x:v>Scenario assessment and reflective response</x:v>
      </x:c>
      <x:c r="I30" s="63" t="str">
        <x:v>MapAble Academy Certificate of Completion (non-accredited professional development)</x:v>
      </x:c>
      <x:c r="J30" s="63" t="str">
        <x:v>24 months; confirm through provider risk assessment</x:v>
      </x:c>
      <x:c r="K30" s="63" t="str">
        <x:v>No – unless required by employer, support plan or risk assessment</x:v>
      </x:c>
      <x:c r="L30" s="63" t="str">
        <x:v>No</x:v>
      </x:c>
      <x:c r="M30" s="63" t="str">
        <x:v>Required before publication</x:v>
      </x:c>
      <x:c r="N30" s="63" t="str">
        <x:v>Wave 1 – Launch</x:v>
      </x:c>
      <x:c r="O30" s="63" t="str">
        <x:v>Planned</x:v>
      </x:c>
      <x:c r="P30" s="63" t="str">
        <x:v>Inclusive Communication</x:v>
      </x:c>
      <x:c r="Q30" s="63" t="str">
        <x:v>Person-Centred Supports; Independence and Informed Choice; Communication Access</x:v>
      </x:c>
      <x:c r="R30" s="63" t="str">
        <x:v>Apply the core principles of easy read, cognitive accessibility and plain language within role scope, participant preferences and organisational escalation pathways.</x:v>
      </x:c>
      <x:c r="S30" s="63" t="str">
        <x:v>https://www.ndiscommission.gov.au/workforce/online-training-modules</x:v>
      </x:c>
      <x:c r="T30" s="63" t="str">
        <x:v>Course mapping supports evidence and capability development; it does not guarantee provider compliance.</x:v>
      </x:c>
    </x:row>
    <x:row r="31">
      <x:c r="A31" s="62" t="str">
        <x:v>CAI-108</x:v>
      </x:c>
      <x:c r="B31" s="63" t="str">
        <x:v>Communication, Accessibility &amp; Inclusion</x:v>
      </x:c>
      <x:c r="C31" s="63" t="str">
        <x:v>Autism, Sensory Preferences and Communication Difference</x:v>
      </x:c>
      <x:c r="D31" s="63" t="str">
        <x:v>Support workers, frontline leaders, service designers and communication partners</x:v>
      </x:c>
      <x:c r="E31" s="63" t="str">
        <x:v>Advanced</x:v>
      </x:c>
      <x:c r="F31" s="63" t="str">
        <x:v>Scenario-based eLearning</x:v>
      </x:c>
      <x:c r="G31" s="64" t="n">
        <x:v>50</x:v>
      </x:c>
      <x:c r="H31" s="63" t="str">
        <x:v>Scenario assessment and reflective response</x:v>
      </x:c>
      <x:c r="I31" s="63" t="str">
        <x:v>MapAble Academy Certificate of Completion (non-accredited professional development)</x:v>
      </x:c>
      <x:c r="J31" s="63" t="str">
        <x:v>24 months; confirm through provider risk assessment</x:v>
      </x:c>
      <x:c r="K31" s="63" t="str">
        <x:v>No – unless required by employer, support plan or risk assessment</x:v>
      </x:c>
      <x:c r="L31" s="63" t="str">
        <x:v>No</x:v>
      </x:c>
      <x:c r="M31" s="63" t="str">
        <x:v>Required before publication</x:v>
      </x:c>
      <x:c r="N31" s="63" t="str">
        <x:v>Wave 1 – Launch</x:v>
      </x:c>
      <x:c r="O31" s="63" t="str">
        <x:v>Planned</x:v>
      </x:c>
      <x:c r="P31" s="63" t="str">
        <x:v>Inclusive Communication</x:v>
      </x:c>
      <x:c r="Q31" s="63" t="str">
        <x:v>Person-Centred Supports; Independence and Informed Choice; Communication Access</x:v>
      </x:c>
      <x:c r="R31" s="63" t="str">
        <x:v>Apply the core principles of autism, sensory preferences and communication difference within role scope, participant preferences and organisational escalation pathways.</x:v>
      </x:c>
      <x:c r="S31" s="63" t="str">
        <x:v>https://www.ndiscommission.gov.au/workforce/online-training-modules</x:v>
      </x:c>
      <x:c r="T31" s="63" t="str">
        <x:v>Course mapping supports evidence and capability development; it does not guarantee provider compliance.</x:v>
      </x:c>
    </x:row>
    <x:row r="32">
      <x:c r="A32" s="62" t="str">
        <x:v>CAI-109</x:v>
      </x:c>
      <x:c r="B32" s="63" t="str">
        <x:v>Communication, Accessibility &amp; Inclusion</x:v>
      </x:c>
      <x:c r="C32" s="63" t="str">
        <x:v>Working with Interpreters and Cross-Cultural Communication</x:v>
      </x:c>
      <x:c r="D32" s="63" t="str">
        <x:v>Support workers, frontline leaders, service designers and communication partners</x:v>
      </x:c>
      <x:c r="E32" s="63" t="str">
        <x:v>Advanced</x:v>
      </x:c>
      <x:c r="F32" s="63" t="str">
        <x:v>Microlearning + knowledge check</x:v>
      </x:c>
      <x:c r="G32" s="64" t="n">
        <x:v>20</x:v>
      </x:c>
      <x:c r="H32" s="63" t="str">
        <x:v>Scenario assessment and reflective response</x:v>
      </x:c>
      <x:c r="I32" s="63" t="str">
        <x:v>MapAble Academy Certificate of Completion (non-accredited professional development)</x:v>
      </x:c>
      <x:c r="J32" s="63" t="str">
        <x:v>24 months; confirm through provider risk assessment</x:v>
      </x:c>
      <x:c r="K32" s="63" t="str">
        <x:v>No – unless required by employer, support plan or risk assessment</x:v>
      </x:c>
      <x:c r="L32" s="63" t="str">
        <x:v>No</x:v>
      </x:c>
      <x:c r="M32" s="63" t="str">
        <x:v>Required before publication</x:v>
      </x:c>
      <x:c r="N32" s="63" t="str">
        <x:v>Wave 2 – Expansion</x:v>
      </x:c>
      <x:c r="O32" s="63" t="str">
        <x:v>Planned</x:v>
      </x:c>
      <x:c r="P32" s="63" t="str">
        <x:v>Inclusive Communication</x:v>
      </x:c>
      <x:c r="Q32" s="63" t="str">
        <x:v>Person-Centred Supports; Independence and Informed Choice; Communication Access</x:v>
      </x:c>
      <x:c r="R32" s="63" t="str">
        <x:v>Apply the core principles of working with interpreters and cross-cultural communication within role scope, participant preferences and organisational escalation pathways.</x:v>
      </x:c>
      <x:c r="S32" s="63" t="str">
        <x:v>https://www.ndiscommission.gov.au/workforce/online-training-modules</x:v>
      </x:c>
      <x:c r="T32" s="63" t="str">
        <x:v>Course mapping supports evidence and capability development; it does not guarantee provider compliance.</x:v>
      </x:c>
    </x:row>
    <x:row r="33">
      <x:c r="A33" s="62" t="str">
        <x:v>CAI-110</x:v>
      </x:c>
      <x:c r="B33" s="63" t="str">
        <x:v>Communication, Accessibility &amp; Inclusion</x:v>
      </x:c>
      <x:c r="C33" s="63" t="str">
        <x:v>Non-Violent Communication, Conflict Resolution and De-escalation</x:v>
      </x:c>
      <x:c r="D33" s="63" t="str">
        <x:v>Support workers, frontline leaders, service designers and communication partners</x:v>
      </x:c>
      <x:c r="E33" s="63" t="str">
        <x:v>Advanced</x:v>
      </x:c>
      <x:c r="F33" s="63" t="str">
        <x:v>Self-paced eLearning</x:v>
      </x:c>
      <x:c r="G33" s="64" t="n">
        <x:v>30</x:v>
      </x:c>
      <x:c r="H33" s="63" t="str">
        <x:v>Scenario assessment and reflective response</x:v>
      </x:c>
      <x:c r="I33" s="63" t="str">
        <x:v>MapAble Academy Certificate of Completion (non-accredited professional development)</x:v>
      </x:c>
      <x:c r="J33" s="63" t="str">
        <x:v>24 months; confirm through provider risk assessment</x:v>
      </x:c>
      <x:c r="K33" s="63" t="str">
        <x:v>No – unless required by employer, support plan or risk assessment</x:v>
      </x:c>
      <x:c r="L33" s="63" t="str">
        <x:v>No</x:v>
      </x:c>
      <x:c r="M33" s="63" t="str">
        <x:v>Required before publication</x:v>
      </x:c>
      <x:c r="N33" s="63" t="str">
        <x:v>Wave 2 – Expansion</x:v>
      </x:c>
      <x:c r="O33" s="63" t="str">
        <x:v>Planned</x:v>
      </x:c>
      <x:c r="P33" s="63" t="str">
        <x:v>Inclusive Communication</x:v>
      </x:c>
      <x:c r="Q33" s="63" t="str">
        <x:v>Person-Centred Supports; Independence and Informed Choice; Communication Access</x:v>
      </x:c>
      <x:c r="R33" s="63" t="str">
        <x:v>Apply the core principles of non-violent communication, conflict resolution and de-escalation within role scope, participant preferences and organisational escalation pathways.</x:v>
      </x:c>
      <x:c r="S33" s="63" t="str">
        <x:v>https://www.ndiscommission.gov.au/workforce/online-training-modules</x:v>
      </x:c>
      <x:c r="T33" s="63" t="str">
        <x:v>Course mapping supports evidence and capability development; it does not guarantee provider compliance.</x:v>
      </x:c>
    </x:row>
    <x:row r="34">
      <x:c r="A34" s="62" t="str">
        <x:v>PDL-101</x:v>
      </x:c>
      <x:c r="B34" s="63" t="str">
        <x:v>Personal Support, Health &amp; Daily Living</x:v>
      </x:c>
      <x:c r="C34" s="63" t="str">
        <x:v>Infection Prevention and Control</x:v>
      </x:c>
      <x:c r="D34" s="63" t="str">
        <x:v>Support workers, frontline leaders and provider practice leads</x:v>
      </x:c>
      <x:c r="E34" s="63" t="str">
        <x:v>Foundation</x:v>
      </x:c>
      <x:c r="F34" s="63" t="str">
        <x:v>Microlearning + knowledge check</x:v>
      </x:c>
      <x:c r="G34" s="64" t="n">
        <x:v>20</x:v>
      </x:c>
      <x:c r="H34" s="63" t="str">
        <x:v>Knowledge quiz and scenario check</x:v>
      </x:c>
      <x:c r="I34" s="63" t="str">
        <x:v>MapAble Academy Certificate of Completion (non-accredited professional development)</x:v>
      </x:c>
      <x:c r="J34" s="63" t="str">
        <x:v>24 months; confirm through provider risk assessment</x:v>
      </x:c>
      <x:c r="K34" s="63" t="str">
        <x:v>No – unless required by employer, support plan or risk assessment</x:v>
      </x:c>
      <x:c r="L34" s="63" t="str">
        <x:v>Yes</x:v>
      </x:c>
      <x:c r="M34" s="63" t="str">
        <x:v>Required before publication</x:v>
      </x:c>
      <x:c r="N34" s="63" t="str">
        <x:v>Wave 1 – Launch</x:v>
      </x:c>
      <x:c r="O34" s="63" t="str">
        <x:v>Planned</x:v>
      </x:c>
      <x:c r="P34" s="63" t="str">
        <x:v>Safe Daily Support</x:v>
      </x:c>
      <x:c r="Q34" s="63" t="str">
        <x:v>Provision of Supports; Safe Environment; Medication; Mealtime Management</x:v>
      </x:c>
      <x:c r="R34" s="63" t="str">
        <x:v>Apply the core principles of infection prevention and control within role scope, participant preferences and organisational escalation pathways.</x:v>
      </x:c>
      <x:c r="S34" s="63" t="str">
        <x:v>https://www.ndiscommission.gov.au/rules-and-standards/quality-practice</x:v>
      </x:c>
      <x:c r="T34" s="63" t="str">
        <x:v>Course mapping supports evidence and capability development; it does not guarantee provider compliance.</x:v>
      </x:c>
    </x:row>
    <x:row r="35">
      <x:c r="A35" s="62" t="str">
        <x:v>PDL-102</x:v>
      </x:c>
      <x:c r="B35" s="63" t="str">
        <x:v>Personal Support, Health &amp; Daily Living</x:v>
      </x:c>
      <x:c r="C35" s="63" t="str">
        <x:v>Hand Hygiene, PPE and Standard Precautions</x:v>
      </x:c>
      <x:c r="D35" s="63" t="str">
        <x:v>Support workers, frontline leaders and provider practice leads</x:v>
      </x:c>
      <x:c r="E35" s="63" t="str">
        <x:v>Foundation</x:v>
      </x:c>
      <x:c r="F35" s="63" t="str">
        <x:v>Self-paced eLearning</x:v>
      </x:c>
      <x:c r="G35" s="64" t="n">
        <x:v>30</x:v>
      </x:c>
      <x:c r="H35" s="63" t="str">
        <x:v>Knowledge quiz and scenario check</x:v>
      </x:c>
      <x:c r="I35" s="63" t="str">
        <x:v>MapAble Academy Certificate of Completion (non-accredited professional development)</x:v>
      </x:c>
      <x:c r="J35" s="63" t="str">
        <x:v>24 months; confirm through provider risk assessment</x:v>
      </x:c>
      <x:c r="K35" s="63" t="str">
        <x:v>No – unless required by employer, support plan or risk assessment</x:v>
      </x:c>
      <x:c r="L35" s="63" t="str">
        <x:v>Yes</x:v>
      </x:c>
      <x:c r="M35" s="63" t="str">
        <x:v>Required before publication</x:v>
      </x:c>
      <x:c r="N35" s="63" t="str">
        <x:v>Wave 1 – Launch</x:v>
      </x:c>
      <x:c r="O35" s="63" t="str">
        <x:v>Planned</x:v>
      </x:c>
      <x:c r="P35" s="63" t="str">
        <x:v>Safe Daily Support</x:v>
      </x:c>
      <x:c r="Q35" s="63" t="str">
        <x:v>Provision of Supports; Safe Environment; Medication; Mealtime Management</x:v>
      </x:c>
      <x:c r="R35" s="63" t="str">
        <x:v>Apply the core principles of hand hygiene, ppe and standard precautions within role scope, participant preferences and organisational escalation pathways.</x:v>
      </x:c>
      <x:c r="S35" s="63" t="str">
        <x:v>https://www.ndiscommission.gov.au/rules-and-standards/quality-practice</x:v>
      </x:c>
      <x:c r="T35" s="63" t="str">
        <x:v>Course mapping supports evidence and capability development; it does not guarantee provider compliance.</x:v>
      </x:c>
    </x:row>
    <x:row r="36">
      <x:c r="A36" s="62" t="str">
        <x:v>PDL-103</x:v>
      </x:c>
      <x:c r="B36" s="63" t="str">
        <x:v>Personal Support, Health &amp; Daily Living</x:v>
      </x:c>
      <x:c r="C36" s="63" t="str">
        <x:v>Personal Care with Privacy, Choice and Respect</x:v>
      </x:c>
      <x:c r="D36" s="63" t="str">
        <x:v>Support workers, frontline leaders and provider practice leads</x:v>
      </x:c>
      <x:c r="E36" s="63" t="str">
        <x:v>Foundation</x:v>
      </x:c>
      <x:c r="F36" s="63" t="str">
        <x:v>Self-paced eLearning</x:v>
      </x:c>
      <x:c r="G36" s="64" t="n">
        <x:v>40</x:v>
      </x:c>
      <x:c r="H36" s="63" t="str">
        <x:v>Knowledge quiz and scenario check</x:v>
      </x:c>
      <x:c r="I36" s="63" t="str">
        <x:v>MapAble Academy Certificate of Completion (non-accredited professional development)</x:v>
      </x:c>
      <x:c r="J36" s="63" t="str">
        <x:v>24 months; confirm through provider risk assessment</x:v>
      </x:c>
      <x:c r="K36" s="63" t="str">
        <x:v>No – unless required by employer, support plan or risk assessment</x:v>
      </x:c>
      <x:c r="L36" s="63" t="str">
        <x:v>Yes</x:v>
      </x:c>
      <x:c r="M36" s="63" t="str">
        <x:v>Required before publication</x:v>
      </x:c>
      <x:c r="N36" s="63" t="str">
        <x:v>Wave 1 – Launch</x:v>
      </x:c>
      <x:c r="O36" s="63" t="str">
        <x:v>Planned</x:v>
      </x:c>
      <x:c r="P36" s="63" t="str">
        <x:v>Safe Daily Support</x:v>
      </x:c>
      <x:c r="Q36" s="63" t="str">
        <x:v>Provision of Supports; Safe Environment; Medication; Mealtime Management</x:v>
      </x:c>
      <x:c r="R36" s="63" t="str">
        <x:v>Apply the core principles of personal care with privacy, choice and respect within role scope, participant preferences and organisational escalation pathways.</x:v>
      </x:c>
      <x:c r="S36" s="63" t="str">
        <x:v>https://www.ndiscommission.gov.au/rules-and-standards/quality-practice</x:v>
      </x:c>
      <x:c r="T36" s="63" t="str">
        <x:v>Course mapping supports evidence and capability development; it does not guarantee provider compliance.</x:v>
      </x:c>
    </x:row>
    <x:row r="37">
      <x:c r="A37" s="62" t="str">
        <x:v>PDL-104</x:v>
      </x:c>
      <x:c r="B37" s="63" t="str">
        <x:v>Personal Support, Health &amp; Daily Living</x:v>
      </x:c>
      <x:c r="C37" s="63" t="str">
        <x:v>Safer Movement, Transfers and Manual Handling</x:v>
      </x:c>
      <x:c r="D37" s="63" t="str">
        <x:v>Support workers, frontline leaders and provider practice leads</x:v>
      </x:c>
      <x:c r="E37" s="63" t="str">
        <x:v>Intermediate</x:v>
      </x:c>
      <x:c r="F37" s="63" t="str">
        <x:v>Scenario-based eLearning</x:v>
      </x:c>
      <x:c r="G37" s="64" t="n">
        <x:v>50</x:v>
      </x:c>
      <x:c r="H37" s="63" t="str">
        <x:v>Knowledge quiz and scenario check</x:v>
      </x:c>
      <x:c r="I37" s="63" t="str">
        <x:v>MapAble Academy Certificate of Completion (non-accredited professional development)</x:v>
      </x:c>
      <x:c r="J37" s="63" t="str">
        <x:v>24 months; confirm through provider risk assessment</x:v>
      </x:c>
      <x:c r="K37" s="63" t="str">
        <x:v>No – unless required by employer, support plan or risk assessment</x:v>
      </x:c>
      <x:c r="L37" s="63" t="str">
        <x:v>Yes</x:v>
      </x:c>
      <x:c r="M37" s="63" t="str">
        <x:v>Required before publication</x:v>
      </x:c>
      <x:c r="N37" s="63" t="str">
        <x:v>Wave 1 – Launch</x:v>
      </x:c>
      <x:c r="O37" s="63" t="str">
        <x:v>Planned</x:v>
      </x:c>
      <x:c r="P37" s="63" t="str">
        <x:v>Safe Daily Support</x:v>
      </x:c>
      <x:c r="Q37" s="63" t="str">
        <x:v>Provision of Supports; Safe Environment; Medication; Mealtime Management</x:v>
      </x:c>
      <x:c r="R37" s="63" t="str">
        <x:v>Apply the core principles of safer movement, transfers and manual handling within role scope, participant preferences and organisational escalation pathways.</x:v>
      </x:c>
      <x:c r="S37" s="63" t="str">
        <x:v>https://www.ndiscommission.gov.au/rules-and-standards/quality-practice</x:v>
      </x:c>
      <x:c r="T37" s="63" t="str">
        <x:v>Course mapping supports evidence and capability development; it does not guarantee provider compliance.</x:v>
      </x:c>
    </x:row>
    <x:row r="38">
      <x:c r="A38" s="62" t="str">
        <x:v>PDL-105</x:v>
      </x:c>
      <x:c r="B38" s="63" t="str">
        <x:v>Personal Support, Health &amp; Daily Living</x:v>
      </x:c>
      <x:c r="C38" s="63" t="str">
        <x:v>Hoists, Wheelchairs and Assistive Equipment Safety</x:v>
      </x:c>
      <x:c r="D38" s="63" t="str">
        <x:v>Support workers, frontline leaders and provider practice leads</x:v>
      </x:c>
      <x:c r="E38" s="63" t="str">
        <x:v>Intermediate</x:v>
      </x:c>
      <x:c r="F38" s="63" t="str">
        <x:v>Microlearning + knowledge check</x:v>
      </x:c>
      <x:c r="G38" s="64" t="n">
        <x:v>20</x:v>
      </x:c>
      <x:c r="H38" s="63" t="str">
        <x:v>Knowledge quiz and scenario check</x:v>
      </x:c>
      <x:c r="I38" s="63" t="str">
        <x:v>MapAble Academy Certificate of Completion (non-accredited professional development)</x:v>
      </x:c>
      <x:c r="J38" s="63" t="str">
        <x:v>24 months; confirm through provider risk assessment</x:v>
      </x:c>
      <x:c r="K38" s="63" t="str">
        <x:v>No – unless required by employer, support plan or risk assessment</x:v>
      </x:c>
      <x:c r="L38" s="63" t="str">
        <x:v>Yes</x:v>
      </x:c>
      <x:c r="M38" s="63" t="str">
        <x:v>Required before publication</x:v>
      </x:c>
      <x:c r="N38" s="63" t="str">
        <x:v>Wave 1 – Launch</x:v>
      </x:c>
      <x:c r="O38" s="63" t="str">
        <x:v>Planned</x:v>
      </x:c>
      <x:c r="P38" s="63" t="str">
        <x:v>Safe Daily Support</x:v>
      </x:c>
      <x:c r="Q38" s="63" t="str">
        <x:v>Provision of Supports; Safe Environment; Medication; Mealtime Management</x:v>
      </x:c>
      <x:c r="R38" s="63" t="str">
        <x:v>Apply the core principles of hoists, wheelchairs and assistive equipment safety within role scope, participant preferences and organisational escalation pathways.</x:v>
      </x:c>
      <x:c r="S38" s="63" t="str">
        <x:v>https://www.ndiscommission.gov.au/rules-and-standards/quality-practice</x:v>
      </x:c>
      <x:c r="T38" s="63" t="str">
        <x:v>Course mapping supports evidence and capability development; it does not guarantee provider compliance.</x:v>
      </x:c>
    </x:row>
    <x:row r="39">
      <x:c r="A39" s="62" t="str">
        <x:v>PDL-106</x:v>
      </x:c>
      <x:c r="B39" s="63" t="str">
        <x:v>Personal Support, Health &amp; Daily Living</x:v>
      </x:c>
      <x:c r="C39" s="63" t="str">
        <x:v>Supporting People to Take Medication</x:v>
      </x:c>
      <x:c r="D39" s="63" t="str">
        <x:v>Support workers, frontline leaders and provider practice leads</x:v>
      </x:c>
      <x:c r="E39" s="63" t="str">
        <x:v>Intermediate</x:v>
      </x:c>
      <x:c r="F39" s="63" t="str">
        <x:v>Self-paced eLearning</x:v>
      </x:c>
      <x:c r="G39" s="64" t="n">
        <x:v>30</x:v>
      </x:c>
      <x:c r="H39" s="63" t="str">
        <x:v>Knowledge quiz and scenario check</x:v>
      </x:c>
      <x:c r="I39" s="63" t="str">
        <x:v>MapAble Academy Certificate of Completion (non-accredited professional development)</x:v>
      </x:c>
      <x:c r="J39" s="63" t="str">
        <x:v>12 months; confirm through provider risk assessment</x:v>
      </x:c>
      <x:c r="K39" s="63" t="str">
        <x:v>No – unless required by employer, support plan or risk assessment</x:v>
      </x:c>
      <x:c r="L39" s="63" t="str">
        <x:v>Yes</x:v>
      </x:c>
      <x:c r="M39" s="63" t="str">
        <x:v>Required before publication</x:v>
      </x:c>
      <x:c r="N39" s="63" t="str">
        <x:v>Wave 1 – Launch</x:v>
      </x:c>
      <x:c r="O39" s="63" t="str">
        <x:v>Planned</x:v>
      </x:c>
      <x:c r="P39" s="63" t="str">
        <x:v>Safe Daily Support</x:v>
      </x:c>
      <x:c r="Q39" s="63" t="str">
        <x:v>Provision of Supports; Safe Environment; Medication; Mealtime Management</x:v>
      </x:c>
      <x:c r="R39" s="63" t="str">
        <x:v>Apply the core principles of supporting people to take medication within role scope, participant preferences and organisational escalation pathways.</x:v>
      </x:c>
      <x:c r="S39" s="63" t="str">
        <x:v>https://www.ndiscommission.gov.au/rules-and-standards/quality-practice</x:v>
      </x:c>
      <x:c r="T39" s="63" t="str">
        <x:v>Course mapping supports evidence and capability development; it does not guarantee provider compliance.</x:v>
      </x:c>
    </x:row>
    <x:row r="40">
      <x:c r="A40" s="62" t="str">
        <x:v>PDL-107</x:v>
      </x:c>
      <x:c r="B40" s="63" t="str">
        <x:v>Personal Support, Health &amp; Daily Living</x:v>
      </x:c>
      <x:c r="C40" s="63" t="str">
        <x:v>Safe and Enjoyable Meals and Dysphagia Awareness</x:v>
      </x:c>
      <x:c r="D40" s="63" t="str">
        <x:v>Support workers, frontline leaders and provider practice leads</x:v>
      </x:c>
      <x:c r="E40" s="63" t="str">
        <x:v>Intermediate</x:v>
      </x:c>
      <x:c r="F40" s="63" t="str">
        <x:v>Self-paced eLearning</x:v>
      </x:c>
      <x:c r="G40" s="64" t="n">
        <x:v>40</x:v>
      </x:c>
      <x:c r="H40" s="63" t="str">
        <x:v>Knowledge quiz and scenario check</x:v>
      </x:c>
      <x:c r="I40" s="63" t="str">
        <x:v>MapAble Academy Certificate of Completion (non-accredited professional development)</x:v>
      </x:c>
      <x:c r="J40" s="63" t="str">
        <x:v>12 months; confirm through provider risk assessment</x:v>
      </x:c>
      <x:c r="K40" s="63" t="str">
        <x:v>No – unless required by employer, support plan or risk assessment</x:v>
      </x:c>
      <x:c r="L40" s="63" t="str">
        <x:v>Yes</x:v>
      </x:c>
      <x:c r="M40" s="63" t="str">
        <x:v>Required before publication</x:v>
      </x:c>
      <x:c r="N40" s="63" t="str">
        <x:v>Wave 3 – Specialist</x:v>
      </x:c>
      <x:c r="O40" s="63" t="str">
        <x:v>Planned</x:v>
      </x:c>
      <x:c r="P40" s="63" t="str">
        <x:v>Safe Daily Support</x:v>
      </x:c>
      <x:c r="Q40" s="63" t="str">
        <x:v>Provision of Supports; Safe Environment; Medication; Mealtime Management</x:v>
      </x:c>
      <x:c r="R40" s="63" t="str">
        <x:v>Apply the core principles of safe and enjoyable meals and dysphagia awareness within role scope, participant preferences and organisational escalation pathways.</x:v>
      </x:c>
      <x:c r="S40" s="63" t="str">
        <x:v>https://www.ndiscommission.gov.au/rules-and-standards/quality-practice</x:v>
      </x:c>
      <x:c r="T40" s="63" t="str">
        <x:v>Course mapping supports evidence and capability development; it does not guarantee provider compliance.</x:v>
      </x:c>
    </x:row>
    <x:row r="41">
      <x:c r="A41" s="62" t="str">
        <x:v>PDL-108</x:v>
      </x:c>
      <x:c r="B41" s="63" t="str">
        <x:v>Personal Support, Health &amp; Daily Living</x:v>
      </x:c>
      <x:c r="C41" s="63" t="str">
        <x:v>Nutrition, Hydration and Recognising Deterioration</x:v>
      </x:c>
      <x:c r="D41" s="63" t="str">
        <x:v>Support workers, frontline leaders and provider practice leads</x:v>
      </x:c>
      <x:c r="E41" s="63" t="str">
        <x:v>Advanced</x:v>
      </x:c>
      <x:c r="F41" s="63" t="str">
        <x:v>Scenario-based eLearning</x:v>
      </x:c>
      <x:c r="G41" s="64" t="n">
        <x:v>50</x:v>
      </x:c>
      <x:c r="H41" s="63" t="str">
        <x:v>Knowledge quiz and scenario check</x:v>
      </x:c>
      <x:c r="I41" s="63" t="str">
        <x:v>MapAble Academy Certificate of Completion (non-accredited professional development)</x:v>
      </x:c>
      <x:c r="J41" s="63" t="str">
        <x:v>12 months; confirm through provider risk assessment</x:v>
      </x:c>
      <x:c r="K41" s="63" t="str">
        <x:v>No – unless required by employer, support plan or risk assessment</x:v>
      </x:c>
      <x:c r="L41" s="63" t="str">
        <x:v>Yes</x:v>
      </x:c>
      <x:c r="M41" s="63" t="str">
        <x:v>Required before publication</x:v>
      </x:c>
      <x:c r="N41" s="63" t="str">
        <x:v>Wave 3 – Specialist</x:v>
      </x:c>
      <x:c r="O41" s="63" t="str">
        <x:v>Planned</x:v>
      </x:c>
      <x:c r="P41" s="63" t="str">
        <x:v>Safe Daily Support</x:v>
      </x:c>
      <x:c r="Q41" s="63" t="str">
        <x:v>Provision of Supports; Safe Environment; Medication; Mealtime Management</x:v>
      </x:c>
      <x:c r="R41" s="63" t="str">
        <x:v>Apply the core principles of nutrition, hydration and recognising deterioration within role scope, participant preferences and organisational escalation pathways.</x:v>
      </x:c>
      <x:c r="S41" s="63" t="str">
        <x:v>https://www.ndiscommission.gov.au/rules-and-standards/quality-practice</x:v>
      </x:c>
      <x:c r="T41" s="63" t="str">
        <x:v>Course mapping supports evidence and capability development; it does not guarantee provider compliance.</x:v>
      </x:c>
    </x:row>
    <x:row r="42">
      <x:c r="A42" s="62" t="str">
        <x:v>PDL-109</x:v>
      </x:c>
      <x:c r="B42" s="63" t="str">
        <x:v>Personal Support, Health &amp; Daily Living</x:v>
      </x:c>
      <x:c r="C42" s="63" t="str">
        <x:v>Oral Health and Daily Support</x:v>
      </x:c>
      <x:c r="D42" s="63" t="str">
        <x:v>Support workers, frontline leaders and provider practice leads</x:v>
      </x:c>
      <x:c r="E42" s="63" t="str">
        <x:v>Advanced</x:v>
      </x:c>
      <x:c r="F42" s="63" t="str">
        <x:v>Microlearning + knowledge check</x:v>
      </x:c>
      <x:c r="G42" s="64" t="n">
        <x:v>20</x:v>
      </x:c>
      <x:c r="H42" s="63" t="str">
        <x:v>Knowledge quiz and scenario check</x:v>
      </x:c>
      <x:c r="I42" s="63" t="str">
        <x:v>MapAble Academy Certificate of Completion (non-accredited professional development)</x:v>
      </x:c>
      <x:c r="J42" s="63" t="str">
        <x:v>12 months; confirm through provider risk assessment</x:v>
      </x:c>
      <x:c r="K42" s="63" t="str">
        <x:v>No – unless required by employer, support plan or risk assessment</x:v>
      </x:c>
      <x:c r="L42" s="63" t="str">
        <x:v>Yes</x:v>
      </x:c>
      <x:c r="M42" s="63" t="str">
        <x:v>Required before publication</x:v>
      </x:c>
      <x:c r="N42" s="63" t="str">
        <x:v>Wave 3 – Specialist</x:v>
      </x:c>
      <x:c r="O42" s="63" t="str">
        <x:v>Planned</x:v>
      </x:c>
      <x:c r="P42" s="63" t="str">
        <x:v>Safe Daily Support</x:v>
      </x:c>
      <x:c r="Q42" s="63" t="str">
        <x:v>Provision of Supports; Safe Environment; Medication; Mealtime Management</x:v>
      </x:c>
      <x:c r="R42" s="63" t="str">
        <x:v>Apply the core principles of oral health and daily support within role scope, participant preferences and organisational escalation pathways.</x:v>
      </x:c>
      <x:c r="S42" s="63" t="str">
        <x:v>https://www.ndiscommission.gov.au/rules-and-standards/quality-practice</x:v>
      </x:c>
      <x:c r="T42" s="63" t="str">
        <x:v>Course mapping supports evidence and capability development; it does not guarantee provider compliance.</x:v>
      </x:c>
    </x:row>
    <x:row r="43">
      <x:c r="A43" s="62" t="str">
        <x:v>PDL-110</x:v>
      </x:c>
      <x:c r="B43" s="63" t="str">
        <x:v>Personal Support, Health &amp; Daily Living</x:v>
      </x:c>
      <x:c r="C43" s="63" t="str">
        <x:v>Skin Integrity, Pressure Care and Continence Support</x:v>
      </x:c>
      <x:c r="D43" s="63" t="str">
        <x:v>Support workers, frontline leaders and provider practice leads</x:v>
      </x:c>
      <x:c r="E43" s="63" t="str">
        <x:v>Advanced</x:v>
      </x:c>
      <x:c r="F43" s="63" t="str">
        <x:v>Self-paced eLearning</x:v>
      </x:c>
      <x:c r="G43" s="64" t="n">
        <x:v>30</x:v>
      </x:c>
      <x:c r="H43" s="63" t="str">
        <x:v>Knowledge quiz and scenario check</x:v>
      </x:c>
      <x:c r="I43" s="63" t="str">
        <x:v>MapAble Academy Certificate of Completion (non-accredited professional development)</x:v>
      </x:c>
      <x:c r="J43" s="63" t="str">
        <x:v>12 months; confirm through provider risk assessment</x:v>
      </x:c>
      <x:c r="K43" s="63" t="str">
        <x:v>No – unless required by employer, support plan or risk assessment</x:v>
      </x:c>
      <x:c r="L43" s="63" t="str">
        <x:v>Yes</x:v>
      </x:c>
      <x:c r="M43" s="63" t="str">
        <x:v>Required before publication</x:v>
      </x:c>
      <x:c r="N43" s="63" t="str">
        <x:v>Wave 3 – Specialist</x:v>
      </x:c>
      <x:c r="O43" s="63" t="str">
        <x:v>Planned</x:v>
      </x:c>
      <x:c r="P43" s="63" t="str">
        <x:v>Safe Daily Support</x:v>
      </x:c>
      <x:c r="Q43" s="63" t="str">
        <x:v>Provision of Supports; Safe Environment; Medication; Mealtime Management</x:v>
      </x:c>
      <x:c r="R43" s="63" t="str">
        <x:v>Apply the core principles of skin integrity, pressure care and continence support within role scope, participant preferences and organisational escalation pathways.</x:v>
      </x:c>
      <x:c r="S43" s="63" t="str">
        <x:v>https://www.ndiscommission.gov.au/rules-and-standards/quality-practice</x:v>
      </x:c>
      <x:c r="T43" s="63" t="str">
        <x:v>Course mapping supports evidence and capability development; it does not guarantee provider compliance.</x:v>
      </x:c>
    </x:row>
    <x:row r="44">
      <x:c r="A44" s="62" t="str">
        <x:v>HIS-101</x:v>
      </x:c>
      <x:c r="B44" s="63" t="str">
        <x:v>High Intensity Support Knowledge</x:v>
      </x:c>
      <x:c r="C44" s="63" t="str">
        <x:v>High Intensity Supports: Roles, Plans and Escalation</x:v>
      </x:c>
      <x:c r="D44" s="63" t="str">
        <x:v>Experienced workers, clinical leads, supervisors and qualified assessors</x:v>
      </x:c>
      <x:c r="E44" s="63" t="str">
        <x:v>Intermediate</x:v>
      </x:c>
      <x:c r="F44" s="63" t="str">
        <x:v>Blended theory + external practical assessment</x:v>
      </x:c>
      <x:c r="G44" s="64" t="n">
        <x:v>60</x:v>
      </x:c>
      <x:c r="H44" s="63" t="str">
        <x:v>Knowledge assessment; participant-specific practical competency assessed separately</x:v>
      </x:c>
      <x:c r="I44" s="63" t="str">
        <x:v>MapAble Academy Certificate of Completion (non-accredited professional development)</x:v>
      </x:c>
      <x:c r="J44" s="63" t="str">
        <x:v>12 months; confirm through provider risk assessment</x:v>
      </x:c>
      <x:c r="K44" s="63" t="str">
        <x:v>Yes – qualified assessor and participant-specific plan required</x:v>
      </x:c>
      <x:c r="L44" s="63" t="str">
        <x:v>Yes</x:v>
      </x:c>
      <x:c r="M44" s="63" t="str">
        <x:v>Required before publication</x:v>
      </x:c>
      <x:c r="N44" s="63" t="str">
        <x:v>Wave 3 – Specialist</x:v>
      </x:c>
      <x:c r="O44" s="63" t="str">
        <x:v>Planned</x:v>
      </x:c>
      <x:c r="P44" s="63" t="str">
        <x:v>High Intensity Knowledge Pathway</x:v>
      </x:c>
      <x:c r="Q44" s="63" t="str">
        <x:v>High Intensity Daily Personal Activities; Participant-Specific Training</x:v>
      </x:c>
      <x:c r="R44" s="63" t="str">
        <x:v>Describe the principles, risks and escalation requirements for high intensity supports: roles, plans and escalation, before participant-specific training and practical assessment.</x:v>
      </x:c>
      <x:c r="S44" s="63" t="str">
        <x:v>https://www.ndiscommission.gov.au/rules-and-standards/ndis-practice-standards/supplementary-module-high-intensity-daily-personal</x:v>
      </x:c>
      <x:c r="T44" s="63" t="str">
        <x:v>Theory completion does not authorise delivery or establish competency. Practical assessment and participant-specific training remain separate.</x:v>
      </x:c>
    </x:row>
    <x:row r="45">
      <x:c r="A45" s="62" t="str">
        <x:v>HIS-102</x:v>
      </x:c>
      <x:c r="B45" s="63" t="str">
        <x:v>High Intensity Support Knowledge</x:v>
      </x:c>
      <x:c r="C45" s="63" t="str">
        <x:v>Complex Bowel Care Knowledge</x:v>
      </x:c>
      <x:c r="D45" s="63" t="str">
        <x:v>Experienced workers, clinical leads, supervisors and qualified assessors</x:v>
      </x:c>
      <x:c r="E45" s="63" t="str">
        <x:v>Intermediate</x:v>
      </x:c>
      <x:c r="F45" s="63" t="str">
        <x:v>Blended theory + external practical assessment</x:v>
      </x:c>
      <x:c r="G45" s="64" t="n">
        <x:v>60</x:v>
      </x:c>
      <x:c r="H45" s="63" t="str">
        <x:v>Knowledge assessment; participant-specific practical competency assessed separately</x:v>
      </x:c>
      <x:c r="I45" s="63" t="str">
        <x:v>MapAble Academy Certificate of Completion (non-accredited professional development)</x:v>
      </x:c>
      <x:c r="J45" s="63" t="str">
        <x:v>12 months; confirm through provider risk assessment</x:v>
      </x:c>
      <x:c r="K45" s="63" t="str">
        <x:v>Yes – qualified assessor and participant-specific plan required</x:v>
      </x:c>
      <x:c r="L45" s="63" t="str">
        <x:v>Yes</x:v>
      </x:c>
      <x:c r="M45" s="63" t="str">
        <x:v>Required before publication</x:v>
      </x:c>
      <x:c r="N45" s="63" t="str">
        <x:v>Wave 3 – Specialist</x:v>
      </x:c>
      <x:c r="O45" s="63" t="str">
        <x:v>Planned</x:v>
      </x:c>
      <x:c r="P45" s="63" t="str">
        <x:v>High Intensity Knowledge Pathway</x:v>
      </x:c>
      <x:c r="Q45" s="63" t="str">
        <x:v>High Intensity Daily Personal Activities; Participant-Specific Training</x:v>
      </x:c>
      <x:c r="R45" s="63" t="str">
        <x:v>Describe the principles, risks and escalation requirements for complex bowel care knowledge, before participant-specific training and practical assessment.</x:v>
      </x:c>
      <x:c r="S45" s="63" t="str">
        <x:v>https://www.ndiscommission.gov.au/rules-and-standards/ndis-practice-standards/supplementary-module-high-intensity-daily-personal</x:v>
      </x:c>
      <x:c r="T45" s="63" t="str">
        <x:v>Theory completion does not authorise delivery or establish competency. Practical assessment and participant-specific training remain separate.</x:v>
      </x:c>
    </x:row>
    <x:row r="46">
      <x:c r="A46" s="62" t="str">
        <x:v>HIS-103</x:v>
      </x:c>
      <x:c r="B46" s="63" t="str">
        <x:v>High Intensity Support Knowledge</x:v>
      </x:c>
      <x:c r="C46" s="63" t="str">
        <x:v>Enteral Feeding and Management Knowledge</x:v>
      </x:c>
      <x:c r="D46" s="63" t="str">
        <x:v>Experienced workers, clinical leads, supervisors and qualified assessors</x:v>
      </x:c>
      <x:c r="E46" s="63" t="str">
        <x:v>Advanced</x:v>
      </x:c>
      <x:c r="F46" s="63" t="str">
        <x:v>Blended theory + external practical assessment</x:v>
      </x:c>
      <x:c r="G46" s="64" t="n">
        <x:v>60</x:v>
      </x:c>
      <x:c r="H46" s="63" t="str">
        <x:v>Knowledge assessment; participant-specific practical competency assessed separately</x:v>
      </x:c>
      <x:c r="I46" s="63" t="str">
        <x:v>MapAble Academy Certificate of Completion (non-accredited professional development)</x:v>
      </x:c>
      <x:c r="J46" s="63" t="str">
        <x:v>12 months; confirm through provider risk assessment</x:v>
      </x:c>
      <x:c r="K46" s="63" t="str">
        <x:v>Yes – qualified assessor and participant-specific plan required</x:v>
      </x:c>
      <x:c r="L46" s="63" t="str">
        <x:v>Yes</x:v>
      </x:c>
      <x:c r="M46" s="63" t="str">
        <x:v>Required before publication</x:v>
      </x:c>
      <x:c r="N46" s="63" t="str">
        <x:v>Wave 3 – Specialist</x:v>
      </x:c>
      <x:c r="O46" s="63" t="str">
        <x:v>Planned</x:v>
      </x:c>
      <x:c r="P46" s="63" t="str">
        <x:v>High Intensity Knowledge Pathway</x:v>
      </x:c>
      <x:c r="Q46" s="63" t="str">
        <x:v>High Intensity Daily Personal Activities; Participant-Specific Training</x:v>
      </x:c>
      <x:c r="R46" s="63" t="str">
        <x:v>Describe the principles, risks and escalation requirements for enteral feeding and management knowledge, before participant-specific training and practical assessment.</x:v>
      </x:c>
      <x:c r="S46" s="63" t="str">
        <x:v>https://www.ndiscommission.gov.au/rules-and-standards/ndis-practice-standards/supplementary-module-high-intensity-daily-personal</x:v>
      </x:c>
      <x:c r="T46" s="63" t="str">
        <x:v>Theory completion does not authorise delivery or establish competency. Practical assessment and participant-specific training remain separate.</x:v>
      </x:c>
    </x:row>
    <x:row r="47">
      <x:c r="A47" s="62" t="str">
        <x:v>HIS-104</x:v>
      </x:c>
      <x:c r="B47" s="63" t="str">
        <x:v>High Intensity Support Knowledge</x:v>
      </x:c>
      <x:c r="C47" s="63" t="str">
        <x:v>Severe Dysphagia Management Knowledge</x:v>
      </x:c>
      <x:c r="D47" s="63" t="str">
        <x:v>Experienced workers, clinical leads, supervisors and qualified assessors</x:v>
      </x:c>
      <x:c r="E47" s="63" t="str">
        <x:v>Advanced</x:v>
      </x:c>
      <x:c r="F47" s="63" t="str">
        <x:v>Blended theory + external practical assessment</x:v>
      </x:c>
      <x:c r="G47" s="64" t="n">
        <x:v>60</x:v>
      </x:c>
      <x:c r="H47" s="63" t="str">
        <x:v>Knowledge assessment; participant-specific practical competency assessed separately</x:v>
      </x:c>
      <x:c r="I47" s="63" t="str">
        <x:v>MapAble Academy Certificate of Completion (non-accredited professional development)</x:v>
      </x:c>
      <x:c r="J47" s="63" t="str">
        <x:v>12 months; confirm through provider risk assessment</x:v>
      </x:c>
      <x:c r="K47" s="63" t="str">
        <x:v>Yes – qualified assessor and participant-specific plan required</x:v>
      </x:c>
      <x:c r="L47" s="63" t="str">
        <x:v>Yes</x:v>
      </x:c>
      <x:c r="M47" s="63" t="str">
        <x:v>Required before publication</x:v>
      </x:c>
      <x:c r="N47" s="63" t="str">
        <x:v>Wave 3 – Specialist</x:v>
      </x:c>
      <x:c r="O47" s="63" t="str">
        <x:v>Planned</x:v>
      </x:c>
      <x:c r="P47" s="63" t="str">
        <x:v>High Intensity Knowledge Pathway</x:v>
      </x:c>
      <x:c r="Q47" s="63" t="str">
        <x:v>High Intensity Daily Personal Activities; Participant-Specific Training</x:v>
      </x:c>
      <x:c r="R47" s="63" t="str">
        <x:v>Describe the principles, risks and escalation requirements for severe dysphagia management knowledge, before participant-specific training and practical assessment.</x:v>
      </x:c>
      <x:c r="S47" s="63" t="str">
        <x:v>https://www.ndiscommission.gov.au/rules-and-standards/ndis-practice-standards/supplementary-module-high-intensity-daily-personal</x:v>
      </x:c>
      <x:c r="T47" s="63" t="str">
        <x:v>Theory completion does not authorise delivery or establish competency. Practical assessment and participant-specific training remain separate.</x:v>
      </x:c>
    </x:row>
    <x:row r="48">
      <x:c r="A48" s="62" t="str">
        <x:v>HIS-105</x:v>
      </x:c>
      <x:c r="B48" s="63" t="str">
        <x:v>High Intensity Support Knowledge</x:v>
      </x:c>
      <x:c r="C48" s="63" t="str">
        <x:v>Tracheostomy Management Knowledge</x:v>
      </x:c>
      <x:c r="D48" s="63" t="str">
        <x:v>Experienced workers, clinical leads, supervisors and qualified assessors</x:v>
      </x:c>
      <x:c r="E48" s="63" t="str">
        <x:v>Advanced</x:v>
      </x:c>
      <x:c r="F48" s="63" t="str">
        <x:v>Blended theory + external practical assessment</x:v>
      </x:c>
      <x:c r="G48" s="64" t="n">
        <x:v>60</x:v>
      </x:c>
      <x:c r="H48" s="63" t="str">
        <x:v>Knowledge assessment; participant-specific practical competency assessed separately</x:v>
      </x:c>
      <x:c r="I48" s="63" t="str">
        <x:v>MapAble Academy Certificate of Completion (non-accredited professional development)</x:v>
      </x:c>
      <x:c r="J48" s="63" t="str">
        <x:v>12 months; confirm through provider risk assessment</x:v>
      </x:c>
      <x:c r="K48" s="63" t="str">
        <x:v>Yes – qualified assessor and participant-specific plan required</x:v>
      </x:c>
      <x:c r="L48" s="63" t="str">
        <x:v>Yes</x:v>
      </x:c>
      <x:c r="M48" s="63" t="str">
        <x:v>Required before publication</x:v>
      </x:c>
      <x:c r="N48" s="63" t="str">
        <x:v>Wave 3 – Specialist</x:v>
      </x:c>
      <x:c r="O48" s="63" t="str">
        <x:v>Planned</x:v>
      </x:c>
      <x:c r="P48" s="63" t="str">
        <x:v>High Intensity Knowledge Pathway</x:v>
      </x:c>
      <x:c r="Q48" s="63" t="str">
        <x:v>High Intensity Daily Personal Activities; Participant-Specific Training</x:v>
      </x:c>
      <x:c r="R48" s="63" t="str">
        <x:v>Describe the principles, risks and escalation requirements for tracheostomy management knowledge, before participant-specific training and practical assessment.</x:v>
      </x:c>
      <x:c r="S48" s="63" t="str">
        <x:v>https://www.ndiscommission.gov.au/rules-and-standards/ndis-practice-standards/supplementary-module-high-intensity-daily-personal</x:v>
      </x:c>
      <x:c r="T48" s="63" t="str">
        <x:v>Theory completion does not authorise delivery or establish competency. Practical assessment and participant-specific training remain separate.</x:v>
      </x:c>
    </x:row>
    <x:row r="49">
      <x:c r="A49" s="62" t="str">
        <x:v>HIS-106</x:v>
      </x:c>
      <x:c r="B49" s="63" t="str">
        <x:v>High Intensity Support Knowledge</x:v>
      </x:c>
      <x:c r="C49" s="63" t="str">
        <x:v>Ventilator Management Knowledge</x:v>
      </x:c>
      <x:c r="D49" s="63" t="str">
        <x:v>Experienced workers, clinical leads, supervisors and qualified assessors</x:v>
      </x:c>
      <x:c r="E49" s="63" t="str">
        <x:v>Advanced</x:v>
      </x:c>
      <x:c r="F49" s="63" t="str">
        <x:v>Blended theory + external practical assessment</x:v>
      </x:c>
      <x:c r="G49" s="64" t="n">
        <x:v>60</x:v>
      </x:c>
      <x:c r="H49" s="63" t="str">
        <x:v>Knowledge assessment; participant-specific practical competency assessed separately</x:v>
      </x:c>
      <x:c r="I49" s="63" t="str">
        <x:v>MapAble Academy Certificate of Completion (non-accredited professional development)</x:v>
      </x:c>
      <x:c r="J49" s="63" t="str">
        <x:v>12 months; confirm through provider risk assessment</x:v>
      </x:c>
      <x:c r="K49" s="63" t="str">
        <x:v>Yes – qualified assessor and participant-specific plan required</x:v>
      </x:c>
      <x:c r="L49" s="63" t="str">
        <x:v>Yes</x:v>
      </x:c>
      <x:c r="M49" s="63" t="str">
        <x:v>Required before publication</x:v>
      </x:c>
      <x:c r="N49" s="63" t="str">
        <x:v>Wave 3 – Specialist</x:v>
      </x:c>
      <x:c r="O49" s="63" t="str">
        <x:v>Planned</x:v>
      </x:c>
      <x:c r="P49" s="63" t="str">
        <x:v>High Intensity Knowledge Pathway</x:v>
      </x:c>
      <x:c r="Q49" s="63" t="str">
        <x:v>High Intensity Daily Personal Activities; Participant-Specific Training</x:v>
      </x:c>
      <x:c r="R49" s="63" t="str">
        <x:v>Describe the principles, risks and escalation requirements for ventilator management knowledge, before participant-specific training and practical assessment.</x:v>
      </x:c>
      <x:c r="S49" s="63" t="str">
        <x:v>https://www.ndiscommission.gov.au/rules-and-standards/ndis-practice-standards/supplementary-module-high-intensity-daily-personal</x:v>
      </x:c>
      <x:c r="T49" s="63" t="str">
        <x:v>Theory completion does not authorise delivery or establish competency. Practical assessment and participant-specific training remain separate.</x:v>
      </x:c>
    </x:row>
    <x:row r="50">
      <x:c r="A50" s="62" t="str">
        <x:v>HIS-107</x:v>
      </x:c>
      <x:c r="B50" s="63" t="str">
        <x:v>High Intensity Support Knowledge</x:v>
      </x:c>
      <x:c r="C50" s="63" t="str">
        <x:v>Urinary Catheter Management Knowledge</x:v>
      </x:c>
      <x:c r="D50" s="63" t="str">
        <x:v>Experienced workers, clinical leads, supervisors and qualified assessors</x:v>
      </x:c>
      <x:c r="E50" s="63" t="str">
        <x:v>Advanced</x:v>
      </x:c>
      <x:c r="F50" s="63" t="str">
        <x:v>Blended theory + external practical assessment</x:v>
      </x:c>
      <x:c r="G50" s="64" t="n">
        <x:v>60</x:v>
      </x:c>
      <x:c r="H50" s="63" t="str">
        <x:v>Knowledge assessment; participant-specific practical competency assessed separately</x:v>
      </x:c>
      <x:c r="I50" s="63" t="str">
        <x:v>MapAble Academy Certificate of Completion (non-accredited professional development)</x:v>
      </x:c>
      <x:c r="J50" s="63" t="str">
        <x:v>12 months; confirm through provider risk assessment</x:v>
      </x:c>
      <x:c r="K50" s="63" t="str">
        <x:v>Yes – qualified assessor and participant-specific plan required</x:v>
      </x:c>
      <x:c r="L50" s="63" t="str">
        <x:v>Yes</x:v>
      </x:c>
      <x:c r="M50" s="63" t="str">
        <x:v>Required before publication</x:v>
      </x:c>
      <x:c r="N50" s="63" t="str">
        <x:v>Wave 3 – Specialist</x:v>
      </x:c>
      <x:c r="O50" s="63" t="str">
        <x:v>Planned</x:v>
      </x:c>
      <x:c r="P50" s="63" t="str">
        <x:v>High Intensity Knowledge Pathway</x:v>
      </x:c>
      <x:c r="Q50" s="63" t="str">
        <x:v>High Intensity Daily Personal Activities; Participant-Specific Training</x:v>
      </x:c>
      <x:c r="R50" s="63" t="str">
        <x:v>Describe the principles, risks and escalation requirements for urinary catheter management knowledge, before participant-specific training and practical assessment.</x:v>
      </x:c>
      <x:c r="S50" s="63" t="str">
        <x:v>https://www.ndiscommission.gov.au/rules-and-standards/ndis-practice-standards/supplementary-module-high-intensity-daily-personal</x:v>
      </x:c>
      <x:c r="T50" s="63" t="str">
        <x:v>Theory completion does not authorise delivery or establish competency. Practical assessment and participant-specific training remain separate.</x:v>
      </x:c>
    </x:row>
    <x:row r="51">
      <x:c r="A51" s="62" t="str">
        <x:v>HIS-108</x:v>
      </x:c>
      <x:c r="B51" s="63" t="str">
        <x:v>High Intensity Support Knowledge</x:v>
      </x:c>
      <x:c r="C51" s="63" t="str">
        <x:v>Subcutaneous Injection Support Knowledge</x:v>
      </x:c>
      <x:c r="D51" s="63" t="str">
        <x:v>Experienced workers, clinical leads, supervisors and qualified assessors</x:v>
      </x:c>
      <x:c r="E51" s="63" t="str">
        <x:v>Advanced</x:v>
      </x:c>
      <x:c r="F51" s="63" t="str">
        <x:v>Blended theory + external practical assessment</x:v>
      </x:c>
      <x:c r="G51" s="64" t="n">
        <x:v>60</x:v>
      </x:c>
      <x:c r="H51" s="63" t="str">
        <x:v>Knowledge assessment; participant-specific practical competency assessed separately</x:v>
      </x:c>
      <x:c r="I51" s="63" t="str">
        <x:v>MapAble Academy Certificate of Completion (non-accredited professional development)</x:v>
      </x:c>
      <x:c r="J51" s="63" t="str">
        <x:v>12 months; confirm through provider risk assessment</x:v>
      </x:c>
      <x:c r="K51" s="63" t="str">
        <x:v>Yes – qualified assessor and participant-specific plan required</x:v>
      </x:c>
      <x:c r="L51" s="63" t="str">
        <x:v>Yes</x:v>
      </x:c>
      <x:c r="M51" s="63" t="str">
        <x:v>Required before publication</x:v>
      </x:c>
      <x:c r="N51" s="63" t="str">
        <x:v>Wave 3 – Specialist</x:v>
      </x:c>
      <x:c r="O51" s="63" t="str">
        <x:v>Planned</x:v>
      </x:c>
      <x:c r="P51" s="63" t="str">
        <x:v>High Intensity Knowledge Pathway</x:v>
      </x:c>
      <x:c r="Q51" s="63" t="str">
        <x:v>High Intensity Daily Personal Activities; Participant-Specific Training</x:v>
      </x:c>
      <x:c r="R51" s="63" t="str">
        <x:v>Describe the principles, risks and escalation requirements for subcutaneous injection support knowledge, before participant-specific training and practical assessment.</x:v>
      </x:c>
      <x:c r="S51" s="63" t="str">
        <x:v>https://www.ndiscommission.gov.au/rules-and-standards/ndis-practice-standards/supplementary-module-high-intensity-daily-personal</x:v>
      </x:c>
      <x:c r="T51" s="63" t="str">
        <x:v>Theory completion does not authorise delivery or establish competency. Practical assessment and participant-specific training remain separate.</x:v>
      </x:c>
    </x:row>
    <x:row r="52">
      <x:c r="A52" s="62" t="str">
        <x:v>HIS-109</x:v>
      </x:c>
      <x:c r="B52" s="63" t="str">
        <x:v>High Intensity Support Knowledge</x:v>
      </x:c>
      <x:c r="C52" s="63" t="str">
        <x:v>Complex Wound Management Knowledge</x:v>
      </x:c>
      <x:c r="D52" s="63" t="str">
        <x:v>Experienced workers, clinical leads, supervisors and qualified assessors</x:v>
      </x:c>
      <x:c r="E52" s="63" t="str">
        <x:v>Advanced</x:v>
      </x:c>
      <x:c r="F52" s="63" t="str">
        <x:v>Blended theory + external practical assessment</x:v>
      </x:c>
      <x:c r="G52" s="64" t="n">
        <x:v>60</x:v>
      </x:c>
      <x:c r="H52" s="63" t="str">
        <x:v>Knowledge assessment; participant-specific practical competency assessed separately</x:v>
      </x:c>
      <x:c r="I52" s="63" t="str">
        <x:v>MapAble Academy Certificate of Completion (non-accredited professional development)</x:v>
      </x:c>
      <x:c r="J52" s="63" t="str">
        <x:v>12 months; confirm through provider risk assessment</x:v>
      </x:c>
      <x:c r="K52" s="63" t="str">
        <x:v>Yes – qualified assessor and participant-specific plan required</x:v>
      </x:c>
      <x:c r="L52" s="63" t="str">
        <x:v>Yes</x:v>
      </x:c>
      <x:c r="M52" s="63" t="str">
        <x:v>Required before publication</x:v>
      </x:c>
      <x:c r="N52" s="63" t="str">
        <x:v>Wave 3 – Specialist</x:v>
      </x:c>
      <x:c r="O52" s="63" t="str">
        <x:v>Planned</x:v>
      </x:c>
      <x:c r="P52" s="63" t="str">
        <x:v>High Intensity Knowledge Pathway</x:v>
      </x:c>
      <x:c r="Q52" s="63" t="str">
        <x:v>High Intensity Daily Personal Activities; Participant-Specific Training</x:v>
      </x:c>
      <x:c r="R52" s="63" t="str">
        <x:v>Describe the principles, risks and escalation requirements for complex wound management knowledge, before participant-specific training and practical assessment.</x:v>
      </x:c>
      <x:c r="S52" s="63" t="str">
        <x:v>https://www.ndiscommission.gov.au/rules-and-standards/ndis-practice-standards/supplementary-module-high-intensity-daily-personal</x:v>
      </x:c>
      <x:c r="T52" s="63" t="str">
        <x:v>Theory completion does not authorise delivery or establish competency. Practical assessment and participant-specific training remain separate.</x:v>
      </x:c>
    </x:row>
    <x:row r="53">
      <x:c r="A53" s="62" t="str">
        <x:v>HIS-110</x:v>
      </x:c>
      <x:c r="B53" s="63" t="str">
        <x:v>High Intensity Support Knowledge</x:v>
      </x:c>
      <x:c r="C53" s="63" t="str">
        <x:v>Seizure Support, Rescue Medication and Medical Emergencies</x:v>
      </x:c>
      <x:c r="D53" s="63" t="str">
        <x:v>Experienced workers, clinical leads, supervisors and qualified assessors</x:v>
      </x:c>
      <x:c r="E53" s="63" t="str">
        <x:v>Advanced</x:v>
      </x:c>
      <x:c r="F53" s="63" t="str">
        <x:v>Blended theory + external practical assessment</x:v>
      </x:c>
      <x:c r="G53" s="64" t="n">
        <x:v>60</x:v>
      </x:c>
      <x:c r="H53" s="63" t="str">
        <x:v>Knowledge assessment; participant-specific practical competency assessed separately</x:v>
      </x:c>
      <x:c r="I53" s="63" t="str">
        <x:v>MapAble Academy Certificate of Completion (non-accredited professional development)</x:v>
      </x:c>
      <x:c r="J53" s="63" t="str">
        <x:v>12 months; confirm through provider risk assessment</x:v>
      </x:c>
      <x:c r="K53" s="63" t="str">
        <x:v>Yes – qualified assessor and participant-specific plan required</x:v>
      </x:c>
      <x:c r="L53" s="63" t="str">
        <x:v>Yes</x:v>
      </x:c>
      <x:c r="M53" s="63" t="str">
        <x:v>Required before publication</x:v>
      </x:c>
      <x:c r="N53" s="63" t="str">
        <x:v>Wave 3 – Specialist</x:v>
      </x:c>
      <x:c r="O53" s="63" t="str">
        <x:v>Planned</x:v>
      </x:c>
      <x:c r="P53" s="63" t="str">
        <x:v>High Intensity Knowledge Pathway</x:v>
      </x:c>
      <x:c r="Q53" s="63" t="str">
        <x:v>High Intensity Daily Personal Activities; Participant-Specific Training</x:v>
      </x:c>
      <x:c r="R53" s="63" t="str">
        <x:v>Describe the principles, risks and escalation requirements for seizure support, rescue medication and medical emergencies, before participant-specific training and practical assessment.</x:v>
      </x:c>
      <x:c r="S53" s="63" t="str">
        <x:v>https://www.ndiscommission.gov.au/rules-and-standards/ndis-practice-standards/supplementary-module-high-intensity-daily-personal</x:v>
      </x:c>
      <x:c r="T53" s="63" t="str">
        <x:v>Theory completion does not authorise delivery or establish competency. Practical assessment and participant-specific training remain separate.</x:v>
      </x:c>
    </x:row>
    <x:row r="54">
      <x:c r="A54" s="62" t="str">
        <x:v>BMR-101</x:v>
      </x:c>
      <x:c r="B54" s="63" t="str">
        <x:v>Behaviour Support, Mental Health &amp; Recovery</x:v>
      </x:c>
      <x:c r="C54" s="63" t="str">
        <x:v>Understanding Psychosocial Disability</x:v>
      </x:c>
      <x:c r="D54" s="63" t="str">
        <x:v>Support workers, recovery coaches, behaviour support implementers and supervisors</x:v>
      </x:c>
      <x:c r="E54" s="63" t="str">
        <x:v>Foundation</x:v>
      </x:c>
      <x:c r="F54" s="63" t="str">
        <x:v>Microlearning + knowledge check</x:v>
      </x:c>
      <x:c r="G54" s="64" t="n">
        <x:v>20</x:v>
      </x:c>
      <x:c r="H54" s="63" t="str">
        <x:v>Knowledge quiz and scenario check</x:v>
      </x:c>
      <x:c r="I54" s="63" t="str">
        <x:v>MapAble Academy Certificate of Completion (non-accredited professional development)</x:v>
      </x:c>
      <x:c r="J54" s="63" t="str">
        <x:v>24 months; confirm through provider risk assessment</x:v>
      </x:c>
      <x:c r="K54" s="63" t="str">
        <x:v>No – unless required by employer, support plan or risk assessment</x:v>
      </x:c>
      <x:c r="L54" s="63" t="str">
        <x:v>Yes</x:v>
      </x:c>
      <x:c r="M54" s="63" t="str">
        <x:v>Required before publication</x:v>
      </x:c>
      <x:c r="N54" s="63" t="str">
        <x:v>Wave 2 – Expansion</x:v>
      </x:c>
      <x:c r="O54" s="63" t="str">
        <x:v>Planned</x:v>
      </x:c>
      <x:c r="P54" s="63" t="str">
        <x:v>Recovery and Positive Support</x:v>
      </x:c>
      <x:c r="Q54" s="63" t="str">
        <x:v>Behaviour Support; Restrictive Practices; Psychosocial Disability; Safeguarding</x:v>
      </x:c>
      <x:c r="R54" s="63" t="str">
        <x:v>Apply the core principles of understanding psychosocial disability within role scope, participant preferences and organisational escalation pathways.</x:v>
      </x:c>
      <x:c r="S54" s="63" t="str">
        <x:v>https://www.ndiscommission.gov.au/rules-and-standards/behaviour-support-and-restrictive-practices</x:v>
      </x:c>
      <x:c r="T54" s="63" t="str">
        <x:v>Course mapping supports evidence and capability development; it does not guarantee provider compliance.</x:v>
      </x:c>
    </x:row>
    <x:row r="55">
      <x:c r="A55" s="62" t="str">
        <x:v>BMR-102</x:v>
      </x:c>
      <x:c r="B55" s="63" t="str">
        <x:v>Behaviour Support, Mental Health &amp; Recovery</x:v>
      </x:c>
      <x:c r="C55" s="63" t="str">
        <x:v>Recovery-Oriented Practice and Personal Agency</x:v>
      </x:c>
      <x:c r="D55" s="63" t="str">
        <x:v>Support workers, recovery coaches, behaviour support implementers and supervisors</x:v>
      </x:c>
      <x:c r="E55" s="63" t="str">
        <x:v>Foundation</x:v>
      </x:c>
      <x:c r="F55" s="63" t="str">
        <x:v>Self-paced eLearning</x:v>
      </x:c>
      <x:c r="G55" s="64" t="n">
        <x:v>30</x:v>
      </x:c>
      <x:c r="H55" s="63" t="str">
        <x:v>Knowledge quiz and scenario check</x:v>
      </x:c>
      <x:c r="I55" s="63" t="str">
        <x:v>MapAble Academy Certificate of Completion (non-accredited professional development)</x:v>
      </x:c>
      <x:c r="J55" s="63" t="str">
        <x:v>24 months; confirm through provider risk assessment</x:v>
      </x:c>
      <x:c r="K55" s="63" t="str">
        <x:v>No – unless required by employer, support plan or risk assessment</x:v>
      </x:c>
      <x:c r="L55" s="63" t="str">
        <x:v>Yes</x:v>
      </x:c>
      <x:c r="M55" s="63" t="str">
        <x:v>Required before publication</x:v>
      </x:c>
      <x:c r="N55" s="63" t="str">
        <x:v>Wave 2 – Expansion</x:v>
      </x:c>
      <x:c r="O55" s="63" t="str">
        <x:v>Planned</x:v>
      </x:c>
      <x:c r="P55" s="63" t="str">
        <x:v>Recovery and Positive Support</x:v>
      </x:c>
      <x:c r="Q55" s="63" t="str">
        <x:v>Behaviour Support; Restrictive Practices; Psychosocial Disability; Safeguarding</x:v>
      </x:c>
      <x:c r="R55" s="63" t="str">
        <x:v>Apply the core principles of recovery-oriented practice and personal agency within role scope, participant preferences and organisational escalation pathways.</x:v>
      </x:c>
      <x:c r="S55" s="63" t="str">
        <x:v>https://www.ndiscommission.gov.au/rules-and-standards/behaviour-support-and-restrictive-practices</x:v>
      </x:c>
      <x:c r="T55" s="63" t="str">
        <x:v>Course mapping supports evidence and capability development; it does not guarantee provider compliance.</x:v>
      </x:c>
    </x:row>
    <x:row r="56">
      <x:c r="A56" s="62" t="str">
        <x:v>BMR-103</x:v>
      </x:c>
      <x:c r="B56" s="63" t="str">
        <x:v>Behaviour Support, Mental Health &amp; Recovery</x:v>
      </x:c>
      <x:c r="C56" s="63" t="str">
        <x:v>Trauma-Informed Disability Support</x:v>
      </x:c>
      <x:c r="D56" s="63" t="str">
        <x:v>Support workers, recovery coaches, behaviour support implementers and supervisors</x:v>
      </x:c>
      <x:c r="E56" s="63" t="str">
        <x:v>Foundation</x:v>
      </x:c>
      <x:c r="F56" s="63" t="str">
        <x:v>Self-paced eLearning</x:v>
      </x:c>
      <x:c r="G56" s="64" t="n">
        <x:v>40</x:v>
      </x:c>
      <x:c r="H56" s="63" t="str">
        <x:v>Knowledge quiz and scenario check</x:v>
      </x:c>
      <x:c r="I56" s="63" t="str">
        <x:v>MapAble Academy Certificate of Completion (non-accredited professional development)</x:v>
      </x:c>
      <x:c r="J56" s="63" t="str">
        <x:v>24 months; confirm through provider risk assessment</x:v>
      </x:c>
      <x:c r="K56" s="63" t="str">
        <x:v>No – unless required by employer, support plan or risk assessment</x:v>
      </x:c>
      <x:c r="L56" s="63" t="str">
        <x:v>Yes</x:v>
      </x:c>
      <x:c r="M56" s="63" t="str">
        <x:v>Required before publication</x:v>
      </x:c>
      <x:c r="N56" s="63" t="str">
        <x:v>Wave 2 – Expansion</x:v>
      </x:c>
      <x:c r="O56" s="63" t="str">
        <x:v>Planned</x:v>
      </x:c>
      <x:c r="P56" s="63" t="str">
        <x:v>Recovery and Positive Support</x:v>
      </x:c>
      <x:c r="Q56" s="63" t="str">
        <x:v>Behaviour Support; Restrictive Practices; Psychosocial Disability; Safeguarding</x:v>
      </x:c>
      <x:c r="R56" s="63" t="str">
        <x:v>Apply the core principles of trauma-informed disability support within role scope, participant preferences and organisational escalation pathways.</x:v>
      </x:c>
      <x:c r="S56" s="63" t="str">
        <x:v>https://www.ndiscommission.gov.au/rules-and-standards/behaviour-support-and-restrictive-practices</x:v>
      </x:c>
      <x:c r="T56" s="63" t="str">
        <x:v>Course mapping supports evidence and capability development; it does not guarantee provider compliance.</x:v>
      </x:c>
    </x:row>
    <x:row r="57">
      <x:c r="A57" s="62" t="str">
        <x:v>BMR-104</x:v>
      </x:c>
      <x:c r="B57" s="63" t="str">
        <x:v>Behaviour Support, Mental Health &amp; Recovery</x:v>
      </x:c>
      <x:c r="C57" s="63" t="str">
        <x:v>Positive Behaviour Support Foundations</x:v>
      </x:c>
      <x:c r="D57" s="63" t="str">
        <x:v>Support workers, recovery coaches, behaviour support implementers and supervisors</x:v>
      </x:c>
      <x:c r="E57" s="63" t="str">
        <x:v>Intermediate</x:v>
      </x:c>
      <x:c r="F57" s="63" t="str">
        <x:v>Scenario-based eLearning</x:v>
      </x:c>
      <x:c r="G57" s="64" t="n">
        <x:v>50</x:v>
      </x:c>
      <x:c r="H57" s="63" t="str">
        <x:v>Scenario assessment and reflective response</x:v>
      </x:c>
      <x:c r="I57" s="63" t="str">
        <x:v>MapAble Academy Certificate of Completion (non-accredited professional development)</x:v>
      </x:c>
      <x:c r="J57" s="63" t="str">
        <x:v>24 months; confirm through provider risk assessment</x:v>
      </x:c>
      <x:c r="K57" s="63" t="str">
        <x:v>No – unless required by employer, support plan or risk assessment</x:v>
      </x:c>
      <x:c r="L57" s="63" t="str">
        <x:v>Yes</x:v>
      </x:c>
      <x:c r="M57" s="63" t="str">
        <x:v>Required before publication</x:v>
      </x:c>
      <x:c r="N57" s="63" t="str">
        <x:v>Wave 2 – Expansion</x:v>
      </x:c>
      <x:c r="O57" s="63" t="str">
        <x:v>Planned</x:v>
      </x:c>
      <x:c r="P57" s="63" t="str">
        <x:v>Recovery and Positive Support</x:v>
      </x:c>
      <x:c r="Q57" s="63" t="str">
        <x:v>Behaviour Support; Restrictive Practices; Psychosocial Disability; Safeguarding</x:v>
      </x:c>
      <x:c r="R57" s="63" t="str">
        <x:v>Apply the core principles of positive behaviour support foundations within role scope, participant preferences and organisational escalation pathways.</x:v>
      </x:c>
      <x:c r="S57" s="63" t="str">
        <x:v>https://www.ndiscommission.gov.au/rules-and-standards/behaviour-support-and-restrictive-practices</x:v>
      </x:c>
      <x:c r="T57" s="63" t="str">
        <x:v>Course mapping supports evidence and capability development; it does not guarantee provider compliance.</x:v>
      </x:c>
    </x:row>
    <x:row r="58">
      <x:c r="A58" s="62" t="str">
        <x:v>BMR-105</x:v>
      </x:c>
      <x:c r="B58" s="63" t="str">
        <x:v>Behaviour Support, Mental Health &amp; Recovery</x:v>
      </x:c>
      <x:c r="C58" s="63" t="str">
        <x:v>Understanding the Function and Context of Behaviour</x:v>
      </x:c>
      <x:c r="D58" s="63" t="str">
        <x:v>Support workers, recovery coaches, behaviour support implementers and supervisors</x:v>
      </x:c>
      <x:c r="E58" s="63" t="str">
        <x:v>Intermediate</x:v>
      </x:c>
      <x:c r="F58" s="63" t="str">
        <x:v>Microlearning + knowledge check</x:v>
      </x:c>
      <x:c r="G58" s="64" t="n">
        <x:v>20</x:v>
      </x:c>
      <x:c r="H58" s="63" t="str">
        <x:v>Scenario assessment and reflective response</x:v>
      </x:c>
      <x:c r="I58" s="63" t="str">
        <x:v>MapAble Academy Certificate of Completion (non-accredited professional development)</x:v>
      </x:c>
      <x:c r="J58" s="63" t="str">
        <x:v>24 months; confirm through provider risk assessment</x:v>
      </x:c>
      <x:c r="K58" s="63" t="str">
        <x:v>No – unless required by employer, support plan or risk assessment</x:v>
      </x:c>
      <x:c r="L58" s="63" t="str">
        <x:v>Yes</x:v>
      </x:c>
      <x:c r="M58" s="63" t="str">
        <x:v>Required before publication</x:v>
      </x:c>
      <x:c r="N58" s="63" t="str">
        <x:v>Wave 2 – Expansion</x:v>
      </x:c>
      <x:c r="O58" s="63" t="str">
        <x:v>Planned</x:v>
      </x:c>
      <x:c r="P58" s="63" t="str">
        <x:v>Recovery and Positive Support</x:v>
      </x:c>
      <x:c r="Q58" s="63" t="str">
        <x:v>Behaviour Support; Restrictive Practices; Psychosocial Disability; Safeguarding</x:v>
      </x:c>
      <x:c r="R58" s="63" t="str">
        <x:v>Apply the core principles of understanding the function and context of behaviour within role scope, participant preferences and organisational escalation pathways.</x:v>
      </x:c>
      <x:c r="S58" s="63" t="str">
        <x:v>https://www.ndiscommission.gov.au/rules-and-standards/behaviour-support-and-restrictive-practices</x:v>
      </x:c>
      <x:c r="T58" s="63" t="str">
        <x:v>Course mapping supports evidence and capability development; it does not guarantee provider compliance.</x:v>
      </x:c>
    </x:row>
    <x:row r="59">
      <x:c r="A59" s="62" t="str">
        <x:v>BMR-106</x:v>
      </x:c>
      <x:c r="B59" s="63" t="str">
        <x:v>Behaviour Support, Mental Health &amp; Recovery</x:v>
      </x:c>
      <x:c r="C59" s="63" t="str">
        <x:v>Implementing a Behaviour Support Plan</x:v>
      </x:c>
      <x:c r="D59" s="63" t="str">
        <x:v>Support workers, recovery coaches, behaviour support implementers and supervisors</x:v>
      </x:c>
      <x:c r="E59" s="63" t="str">
        <x:v>Intermediate</x:v>
      </x:c>
      <x:c r="F59" s="63" t="str">
        <x:v>Self-paced eLearning</x:v>
      </x:c>
      <x:c r="G59" s="64" t="n">
        <x:v>30</x:v>
      </x:c>
      <x:c r="H59" s="63" t="str">
        <x:v>Scenario assessment and reflective response</x:v>
      </x:c>
      <x:c r="I59" s="63" t="str">
        <x:v>MapAble Academy Certificate of Completion (non-accredited professional development)</x:v>
      </x:c>
      <x:c r="J59" s="63" t="str">
        <x:v>12 months; confirm through provider risk assessment</x:v>
      </x:c>
      <x:c r="K59" s="63" t="str">
        <x:v>No – unless required by employer, support plan or risk assessment</x:v>
      </x:c>
      <x:c r="L59" s="63" t="str">
        <x:v>Yes</x:v>
      </x:c>
      <x:c r="M59" s="63" t="str">
        <x:v>Required before publication</x:v>
      </x:c>
      <x:c r="N59" s="63" t="str">
        <x:v>Wave 3 – Specialist</x:v>
      </x:c>
      <x:c r="O59" s="63" t="str">
        <x:v>Planned</x:v>
      </x:c>
      <x:c r="P59" s="63" t="str">
        <x:v>Recovery and Positive Support</x:v>
      </x:c>
      <x:c r="Q59" s="63" t="str">
        <x:v>Behaviour Support; Restrictive Practices; Psychosocial Disability; Safeguarding</x:v>
      </x:c>
      <x:c r="R59" s="63" t="str">
        <x:v>Apply the core principles of implementing a behaviour support plan within role scope, participant preferences and organisational escalation pathways.</x:v>
      </x:c>
      <x:c r="S59" s="63" t="str">
        <x:v>https://www.ndiscommission.gov.au/rules-and-standards/behaviour-support-and-restrictive-practices</x:v>
      </x:c>
      <x:c r="T59" s="63" t="str">
        <x:v>Course mapping supports evidence and capability development; it does not guarantee provider compliance.</x:v>
      </x:c>
    </x:row>
    <x:row r="60">
      <x:c r="A60" s="62" t="str">
        <x:v>BMR-107</x:v>
      </x:c>
      <x:c r="B60" s="63" t="str">
        <x:v>Behaviour Support, Mental Health &amp; Recovery</x:v>
      </x:c>
      <x:c r="C60" s="63" t="str">
        <x:v>Restrictive Practices, Authorisation and Reduction</x:v>
      </x:c>
      <x:c r="D60" s="63" t="str">
        <x:v>Support workers, recovery coaches, behaviour support implementers and supervisors</x:v>
      </x:c>
      <x:c r="E60" s="63" t="str">
        <x:v>Intermediate</x:v>
      </x:c>
      <x:c r="F60" s="63" t="str">
        <x:v>Self-paced eLearning</x:v>
      </x:c>
      <x:c r="G60" s="64" t="n">
        <x:v>40</x:v>
      </x:c>
      <x:c r="H60" s="63" t="str">
        <x:v>Scenario assessment and reflective response</x:v>
      </x:c>
      <x:c r="I60" s="63" t="str">
        <x:v>MapAble Academy Certificate of Completion (non-accredited professional development)</x:v>
      </x:c>
      <x:c r="J60" s="63" t="str">
        <x:v>12 months; confirm through provider risk assessment</x:v>
      </x:c>
      <x:c r="K60" s="63" t="str">
        <x:v>No – unless required by employer, support plan or risk assessment</x:v>
      </x:c>
      <x:c r="L60" s="63" t="str">
        <x:v>Yes</x:v>
      </x:c>
      <x:c r="M60" s="63" t="str">
        <x:v>Required before publication</x:v>
      </x:c>
      <x:c r="N60" s="63" t="str">
        <x:v>Wave 3 – Specialist</x:v>
      </x:c>
      <x:c r="O60" s="63" t="str">
        <x:v>Planned</x:v>
      </x:c>
      <x:c r="P60" s="63" t="str">
        <x:v>Recovery and Positive Support</x:v>
      </x:c>
      <x:c r="Q60" s="63" t="str">
        <x:v>Behaviour Support; Restrictive Practices; Psychosocial Disability; Safeguarding</x:v>
      </x:c>
      <x:c r="R60" s="63" t="str">
        <x:v>Apply the core principles of restrictive practices, authorisation and reduction within role scope, participant preferences and organisational escalation pathways.</x:v>
      </x:c>
      <x:c r="S60" s="63" t="str">
        <x:v>https://www.ndiscommission.gov.au/rules-and-standards/behaviour-support-and-restrictive-practices</x:v>
      </x:c>
      <x:c r="T60" s="63" t="str">
        <x:v>Course mapping supports evidence and capability development; it does not guarantee provider compliance.</x:v>
      </x:c>
    </x:row>
    <x:row r="61">
      <x:c r="A61" s="62" t="str">
        <x:v>BMR-108</x:v>
      </x:c>
      <x:c r="B61" s="63" t="str">
        <x:v>Behaviour Support, Mental Health &amp; Recovery</x:v>
      </x:c>
      <x:c r="C61" s="63" t="str">
        <x:v>Co-Regulation, Emotional Regulation and Distress</x:v>
      </x:c>
      <x:c r="D61" s="63" t="str">
        <x:v>Support workers, recovery coaches, behaviour support implementers and supervisors</x:v>
      </x:c>
      <x:c r="E61" s="63" t="str">
        <x:v>Advanced</x:v>
      </x:c>
      <x:c r="F61" s="63" t="str">
        <x:v>Scenario-based eLearning</x:v>
      </x:c>
      <x:c r="G61" s="64" t="n">
        <x:v>50</x:v>
      </x:c>
      <x:c r="H61" s="63" t="str">
        <x:v>Scenario assessment and reflective response</x:v>
      </x:c>
      <x:c r="I61" s="63" t="str">
        <x:v>MapAble Academy Certificate of Completion (non-accredited professional development)</x:v>
      </x:c>
      <x:c r="J61" s="63" t="str">
        <x:v>12 months; confirm through provider risk assessment</x:v>
      </x:c>
      <x:c r="K61" s="63" t="str">
        <x:v>No – unless required by employer, support plan or risk assessment</x:v>
      </x:c>
      <x:c r="L61" s="63" t="str">
        <x:v>Yes</x:v>
      </x:c>
      <x:c r="M61" s="63" t="str">
        <x:v>Required before publication</x:v>
      </x:c>
      <x:c r="N61" s="63" t="str">
        <x:v>Wave 3 – Specialist</x:v>
      </x:c>
      <x:c r="O61" s="63" t="str">
        <x:v>Planned</x:v>
      </x:c>
      <x:c r="P61" s="63" t="str">
        <x:v>Recovery and Positive Support</x:v>
      </x:c>
      <x:c r="Q61" s="63" t="str">
        <x:v>Behaviour Support; Restrictive Practices; Psychosocial Disability; Safeguarding</x:v>
      </x:c>
      <x:c r="R61" s="63" t="str">
        <x:v>Apply the core principles of co-regulation, emotional regulation and distress within role scope, participant preferences and organisational escalation pathways.</x:v>
      </x:c>
      <x:c r="S61" s="63" t="str">
        <x:v>https://www.ndiscommission.gov.au/rules-and-standards/behaviour-support-and-restrictive-practices</x:v>
      </x:c>
      <x:c r="T61" s="63" t="str">
        <x:v>Course mapping supports evidence and capability development; it does not guarantee provider compliance.</x:v>
      </x:c>
    </x:row>
    <x:row r="62">
      <x:c r="A62" s="62" t="str">
        <x:v>BMR-109</x:v>
      </x:c>
      <x:c r="B62" s="63" t="str">
        <x:v>Behaviour Support, Mental Health &amp; Recovery</x:v>
      </x:c>
      <x:c r="C62" s="63" t="str">
        <x:v>Responding to Suicide Risk, Self-Harm and Crisis</x:v>
      </x:c>
      <x:c r="D62" s="63" t="str">
        <x:v>Support workers, recovery coaches, behaviour support implementers and supervisors</x:v>
      </x:c>
      <x:c r="E62" s="63" t="str">
        <x:v>Advanced</x:v>
      </x:c>
      <x:c r="F62" s="63" t="str">
        <x:v>Microlearning + knowledge check</x:v>
      </x:c>
      <x:c r="G62" s="64" t="n">
        <x:v>20</x:v>
      </x:c>
      <x:c r="H62" s="63" t="str">
        <x:v>Scenario assessment and reflective response</x:v>
      </x:c>
      <x:c r="I62" s="63" t="str">
        <x:v>MapAble Academy Certificate of Completion (non-accredited professional development)</x:v>
      </x:c>
      <x:c r="J62" s="63" t="str">
        <x:v>12 months; confirm through provider risk assessment</x:v>
      </x:c>
      <x:c r="K62" s="63" t="str">
        <x:v>No – unless required by employer, support plan or risk assessment</x:v>
      </x:c>
      <x:c r="L62" s="63" t="str">
        <x:v>Yes</x:v>
      </x:c>
      <x:c r="M62" s="63" t="str">
        <x:v>Required before publication</x:v>
      </x:c>
      <x:c r="N62" s="63" t="str">
        <x:v>Wave 3 – Specialist</x:v>
      </x:c>
      <x:c r="O62" s="63" t="str">
        <x:v>Planned</x:v>
      </x:c>
      <x:c r="P62" s="63" t="str">
        <x:v>Recovery and Positive Support</x:v>
      </x:c>
      <x:c r="Q62" s="63" t="str">
        <x:v>Behaviour Support; Restrictive Practices; Psychosocial Disability; Safeguarding</x:v>
      </x:c>
      <x:c r="R62" s="63" t="str">
        <x:v>Apply the core principles of responding to suicide risk, self-harm and crisis within role scope, participant preferences and organisational escalation pathways.</x:v>
      </x:c>
      <x:c r="S62" s="63" t="str">
        <x:v>https://www.ndiscommission.gov.au/rules-and-standards/behaviour-support-and-restrictive-practices</x:v>
      </x:c>
      <x:c r="T62" s="63" t="str">
        <x:v>Course mapping supports evidence and capability development; it does not guarantee provider compliance.</x:v>
      </x:c>
    </x:row>
    <x:row r="63">
      <x:c r="A63" s="62" t="str">
        <x:v>BMR-110</x:v>
      </x:c>
      <x:c r="B63" s="63" t="str">
        <x:v>Behaviour Support, Mental Health &amp; Recovery</x:v>
      </x:c>
      <x:c r="C63" s="63" t="str">
        <x:v>Worker Wellbeing, Burnout, Debriefing and Moral Distress</x:v>
      </x:c>
      <x:c r="D63" s="63" t="str">
        <x:v>Support workers, recovery coaches, behaviour support implementers and supervisors</x:v>
      </x:c>
      <x:c r="E63" s="63" t="str">
        <x:v>Advanced</x:v>
      </x:c>
      <x:c r="F63" s="63" t="str">
        <x:v>Self-paced eLearning</x:v>
      </x:c>
      <x:c r="G63" s="64" t="n">
        <x:v>30</x:v>
      </x:c>
      <x:c r="H63" s="63" t="str">
        <x:v>Scenario assessment and reflective response</x:v>
      </x:c>
      <x:c r="I63" s="63" t="str">
        <x:v>MapAble Academy Certificate of Completion (non-accredited professional development)</x:v>
      </x:c>
      <x:c r="J63" s="63" t="str">
        <x:v>12 months; confirm through provider risk assessment</x:v>
      </x:c>
      <x:c r="K63" s="63" t="str">
        <x:v>No – unless required by employer, support plan or risk assessment</x:v>
      </x:c>
      <x:c r="L63" s="63" t="str">
        <x:v>Yes</x:v>
      </x:c>
      <x:c r="M63" s="63" t="str">
        <x:v>Required before publication</x:v>
      </x:c>
      <x:c r="N63" s="63" t="str">
        <x:v>Wave 2 – Expansion</x:v>
      </x:c>
      <x:c r="O63" s="63" t="str">
        <x:v>Planned</x:v>
      </x:c>
      <x:c r="P63" s="63" t="str">
        <x:v>Recovery and Positive Support</x:v>
      </x:c>
      <x:c r="Q63" s="63" t="str">
        <x:v>Behaviour Support; Restrictive Practices; Psychosocial Disability; Safeguarding</x:v>
      </x:c>
      <x:c r="R63" s="63" t="str">
        <x:v>Apply the core principles of worker wellbeing, burnout, debriefing and moral distress within role scope, participant preferences and organisational escalation pathways.</x:v>
      </x:c>
      <x:c r="S63" s="63" t="str">
        <x:v>https://www.ndiscommission.gov.au/rules-and-standards/behaviour-support-and-restrictive-practices</x:v>
      </x:c>
      <x:c r="T63" s="63" t="str">
        <x:v>Course mapping supports evidence and capability development; it does not guarantee provider compliance.</x:v>
      </x:c>
    </x:row>
    <x:row r="64">
      <x:c r="A64" s="62" t="str">
        <x:v>TMC-101</x:v>
      </x:c>
      <x:c r="B64" s="63" t="str">
        <x:v>Transport, Mobility &amp; Community Access</x:v>
      </x:c>
      <x:c r="C64" s="63" t="str">
        <x:v>Accessible Transport Foundations</x:v>
      </x:c>
      <x:c r="D64" s="63" t="str">
        <x:v>Support workers, drivers, transport coordinators and provider managers</x:v>
      </x:c>
      <x:c r="E64" s="63" t="str">
        <x:v>Foundation</x:v>
      </x:c>
      <x:c r="F64" s="63" t="str">
        <x:v>Microlearning + knowledge check</x:v>
      </x:c>
      <x:c r="G64" s="64" t="n">
        <x:v>20</x:v>
      </x:c>
      <x:c r="H64" s="63" t="str">
        <x:v>Knowledge quiz and scenario check</x:v>
      </x:c>
      <x:c r="I64" s="63" t="str">
        <x:v>MapAble Academy Certificate of Completion (non-accredited professional development)</x:v>
      </x:c>
      <x:c r="J64" s="63" t="str">
        <x:v>24 months; confirm through provider risk assessment</x:v>
      </x:c>
      <x:c r="K64" s="63" t="str">
        <x:v>No – unless required by employer, support plan or risk assessment</x:v>
      </x:c>
      <x:c r="L64" s="63" t="str">
        <x:v>No</x:v>
      </x:c>
      <x:c r="M64" s="63" t="str">
        <x:v>Required before publication</x:v>
      </x:c>
      <x:c r="N64" s="63" t="str">
        <x:v>Wave 1 – Launch</x:v>
      </x:c>
      <x:c r="O64" s="63" t="str">
        <x:v>Planned</x:v>
      </x:c>
      <x:c r="P64" s="63" t="str">
        <x:v>Accessible Transport and Community Access</x:v>
      </x:c>
      <x:c r="Q64" s="63" t="str">
        <x:v>Safe Environment; Community Participation; Transport; Mobility</x:v>
      </x:c>
      <x:c r="R64" s="63" t="str">
        <x:v>Apply the core principles of accessible transport foundations within role scope, participant preferences and organisational escalation pathways.</x:v>
      </x:c>
      <x:c r="S64" s="63" t="str">
        <x:v>https://www.ndiscommission.gov.au/workforce/training-workers/guide-for-ndis-providers/training-your-workers</x:v>
      </x:c>
      <x:c r="T64" s="63" t="str">
        <x:v>Course mapping supports evidence and capability development; it does not guarantee provider compliance.</x:v>
      </x:c>
    </x:row>
    <x:row r="65">
      <x:c r="A65" s="62" t="str">
        <x:v>TMC-102</x:v>
      </x:c>
      <x:c r="B65" s="63" t="str">
        <x:v>Transport, Mobility &amp; Community Access</x:v>
      </x:c>
      <x:c r="C65" s="63" t="str">
        <x:v>Safe Vehicle Boarding, Transfers and Passenger Securement</x:v>
      </x:c>
      <x:c r="D65" s="63" t="str">
        <x:v>Support workers, drivers, transport coordinators and provider managers</x:v>
      </x:c>
      <x:c r="E65" s="63" t="str">
        <x:v>Foundation</x:v>
      </x:c>
      <x:c r="F65" s="63" t="str">
        <x:v>Self-paced eLearning</x:v>
      </x:c>
      <x:c r="G65" s="64" t="n">
        <x:v>30</x:v>
      </x:c>
      <x:c r="H65" s="63" t="str">
        <x:v>Knowledge quiz and scenario check</x:v>
      </x:c>
      <x:c r="I65" s="63" t="str">
        <x:v>MapAble Academy Certificate of Completion (non-accredited professional development)</x:v>
      </x:c>
      <x:c r="J65" s="63" t="str">
        <x:v>24 months; confirm through provider risk assessment</x:v>
      </x:c>
      <x:c r="K65" s="63" t="str">
        <x:v>No – unless required by employer, support plan or risk assessment</x:v>
      </x:c>
      <x:c r="L65" s="63" t="str">
        <x:v>No</x:v>
      </x:c>
      <x:c r="M65" s="63" t="str">
        <x:v>Required before publication</x:v>
      </x:c>
      <x:c r="N65" s="63" t="str">
        <x:v>Wave 1 – Launch</x:v>
      </x:c>
      <x:c r="O65" s="63" t="str">
        <x:v>Planned</x:v>
      </x:c>
      <x:c r="P65" s="63" t="str">
        <x:v>Accessible Transport and Community Access</x:v>
      </x:c>
      <x:c r="Q65" s="63" t="str">
        <x:v>Safe Environment; Community Participation; Transport; Mobility</x:v>
      </x:c>
      <x:c r="R65" s="63" t="str">
        <x:v>Apply the core principles of safe vehicle boarding, transfers and passenger securement within role scope, participant preferences and organisational escalation pathways.</x:v>
      </x:c>
      <x:c r="S65" s="63" t="str">
        <x:v>https://www.ndiscommission.gov.au/workforce/training-workers/guide-for-ndis-providers/training-your-workers</x:v>
      </x:c>
      <x:c r="T65" s="63" t="str">
        <x:v>Course mapping supports evidence and capability development; it does not guarantee provider compliance.</x:v>
      </x:c>
    </x:row>
    <x:row r="66">
      <x:c r="A66" s="62" t="str">
        <x:v>TMC-103</x:v>
      </x:c>
      <x:c r="B66" s="63" t="str">
        <x:v>Transport, Mobility &amp; Community Access</x:v>
      </x:c>
      <x:c r="C66" s="63" t="str">
        <x:v>Wheelchairs and Mobility Devices in Vehicles</x:v>
      </x:c>
      <x:c r="D66" s="63" t="str">
        <x:v>Support workers, drivers, transport coordinators and provider managers</x:v>
      </x:c>
      <x:c r="E66" s="63" t="str">
        <x:v>Foundation</x:v>
      </x:c>
      <x:c r="F66" s="63" t="str">
        <x:v>Self-paced eLearning</x:v>
      </x:c>
      <x:c r="G66" s="64" t="n">
        <x:v>40</x:v>
      </x:c>
      <x:c r="H66" s="63" t="str">
        <x:v>Knowledge quiz and scenario check</x:v>
      </x:c>
      <x:c r="I66" s="63" t="str">
        <x:v>MapAble Academy Certificate of Completion (non-accredited professional development)</x:v>
      </x:c>
      <x:c r="J66" s="63" t="str">
        <x:v>24 months; confirm through provider risk assessment</x:v>
      </x:c>
      <x:c r="K66" s="63" t="str">
        <x:v>No – unless required by employer, support plan or risk assessment</x:v>
      </x:c>
      <x:c r="L66" s="63" t="str">
        <x:v>No</x:v>
      </x:c>
      <x:c r="M66" s="63" t="str">
        <x:v>Required before publication</x:v>
      </x:c>
      <x:c r="N66" s="63" t="str">
        <x:v>Wave 1 – Launch</x:v>
      </x:c>
      <x:c r="O66" s="63" t="str">
        <x:v>Planned</x:v>
      </x:c>
      <x:c r="P66" s="63" t="str">
        <x:v>Accessible Transport and Community Access</x:v>
      </x:c>
      <x:c r="Q66" s="63" t="str">
        <x:v>Safe Environment; Community Participation; Transport; Mobility</x:v>
      </x:c>
      <x:c r="R66" s="63" t="str">
        <x:v>Apply the core principles of wheelchairs and mobility devices in vehicles within role scope, participant preferences and organisational escalation pathways.</x:v>
      </x:c>
      <x:c r="S66" s="63" t="str">
        <x:v>https://www.ndiscommission.gov.au/workforce/training-workers/guide-for-ndis-providers/training-your-workers</x:v>
      </x:c>
      <x:c r="T66" s="63" t="str">
        <x:v>Course mapping supports evidence and capability development; it does not guarantee provider compliance.</x:v>
      </x:c>
    </x:row>
    <x:row r="67">
      <x:c r="A67" s="62" t="str">
        <x:v>TMC-104</x:v>
      </x:c>
      <x:c r="B67" s="63" t="str">
        <x:v>Transport, Mobility &amp; Community Access</x:v>
      </x:c>
      <x:c r="C67" s="63" t="str">
        <x:v>Driver Responsibilities, Boundaries and Duty of Care</x:v>
      </x:c>
      <x:c r="D67" s="63" t="str">
        <x:v>Support workers, drivers, transport coordinators and provider managers</x:v>
      </x:c>
      <x:c r="E67" s="63" t="str">
        <x:v>Intermediate</x:v>
      </x:c>
      <x:c r="F67" s="63" t="str">
        <x:v>Scenario-based eLearning</x:v>
      </x:c>
      <x:c r="G67" s="64" t="n">
        <x:v>50</x:v>
      </x:c>
      <x:c r="H67" s="63" t="str">
        <x:v>Knowledge quiz and scenario check</x:v>
      </x:c>
      <x:c r="I67" s="63" t="str">
        <x:v>MapAble Academy Certificate of Completion (non-accredited professional development)</x:v>
      </x:c>
      <x:c r="J67" s="63" t="str">
        <x:v>24 months; confirm through provider risk assessment</x:v>
      </x:c>
      <x:c r="K67" s="63" t="str">
        <x:v>No – unless required by employer, support plan or risk assessment</x:v>
      </x:c>
      <x:c r="L67" s="63" t="str">
        <x:v>No</x:v>
      </x:c>
      <x:c r="M67" s="63" t="str">
        <x:v>Required before publication</x:v>
      </x:c>
      <x:c r="N67" s="63" t="str">
        <x:v>Wave 2 – Expansion</x:v>
      </x:c>
      <x:c r="O67" s="63" t="str">
        <x:v>Planned</x:v>
      </x:c>
      <x:c r="P67" s="63" t="str">
        <x:v>Accessible Transport and Community Access</x:v>
      </x:c>
      <x:c r="Q67" s="63" t="str">
        <x:v>Safe Environment; Community Participation; Transport; Mobility</x:v>
      </x:c>
      <x:c r="R67" s="63" t="str">
        <x:v>Apply the core principles of driver responsibilities, boundaries and duty of care within role scope, participant preferences and organisational escalation pathways.</x:v>
      </x:c>
      <x:c r="S67" s="63" t="str">
        <x:v>https://www.ndiscommission.gov.au/workforce/training-workers/guide-for-ndis-providers/training-your-workers</x:v>
      </x:c>
      <x:c r="T67" s="63" t="str">
        <x:v>Course mapping supports evidence and capability development; it does not guarantee provider compliance.</x:v>
      </x:c>
    </x:row>
    <x:row r="68">
      <x:c r="A68" s="62" t="str">
        <x:v>TMC-105</x:v>
      </x:c>
      <x:c r="B68" s="63" t="str">
        <x:v>Transport, Mobility &amp; Community Access</x:v>
      </x:c>
      <x:c r="C68" s="63" t="str">
        <x:v>Journey Planning, Risk and Participant Preferences</x:v>
      </x:c>
      <x:c r="D68" s="63" t="str">
        <x:v>Support workers, drivers, transport coordinators and provider managers</x:v>
      </x:c>
      <x:c r="E68" s="63" t="str">
        <x:v>Intermediate</x:v>
      </x:c>
      <x:c r="F68" s="63" t="str">
        <x:v>Microlearning + knowledge check</x:v>
      </x:c>
      <x:c r="G68" s="64" t="n">
        <x:v>20</x:v>
      </x:c>
      <x:c r="H68" s="63" t="str">
        <x:v>Knowledge quiz and scenario check</x:v>
      </x:c>
      <x:c r="I68" s="63" t="str">
        <x:v>MapAble Academy Certificate of Completion (non-accredited professional development)</x:v>
      </x:c>
      <x:c r="J68" s="63" t="str">
        <x:v>24 months; confirm through provider risk assessment</x:v>
      </x:c>
      <x:c r="K68" s="63" t="str">
        <x:v>No – unless required by employer, support plan or risk assessment</x:v>
      </x:c>
      <x:c r="L68" s="63" t="str">
        <x:v>No</x:v>
      </x:c>
      <x:c r="M68" s="63" t="str">
        <x:v>Required before publication</x:v>
      </x:c>
      <x:c r="N68" s="63" t="str">
        <x:v>Wave 2 – Expansion</x:v>
      </x:c>
      <x:c r="O68" s="63" t="str">
        <x:v>Planned</x:v>
      </x:c>
      <x:c r="P68" s="63" t="str">
        <x:v>Accessible Transport and Community Access</x:v>
      </x:c>
      <x:c r="Q68" s="63" t="str">
        <x:v>Safe Environment; Community Participation; Transport; Mobility</x:v>
      </x:c>
      <x:c r="R68" s="63" t="str">
        <x:v>Apply the core principles of journey planning, risk and participant preferences within role scope, participant preferences and organisational escalation pathways.</x:v>
      </x:c>
      <x:c r="S68" s="63" t="str">
        <x:v>https://www.ndiscommission.gov.au/workforce/training-workers/guide-for-ndis-providers/training-your-workers</x:v>
      </x:c>
      <x:c r="T68" s="63" t="str">
        <x:v>Course mapping supports evidence and capability development; it does not guarantee provider compliance.</x:v>
      </x:c>
    </x:row>
    <x:row r="69">
      <x:c r="A69" s="62" t="str">
        <x:v>TMC-106</x:v>
      </x:c>
      <x:c r="B69" s="63" t="str">
        <x:v>Transport, Mobility &amp; Community Access</x:v>
      </x:c>
      <x:c r="C69" s="63" t="str">
        <x:v>Mobility Scooters, Power Wheelchairs and Battery Safety</x:v>
      </x:c>
      <x:c r="D69" s="63" t="str">
        <x:v>Support workers, drivers, transport coordinators and provider managers</x:v>
      </x:c>
      <x:c r="E69" s="63" t="str">
        <x:v>Intermediate</x:v>
      </x:c>
      <x:c r="F69" s="63" t="str">
        <x:v>Self-paced eLearning</x:v>
      </x:c>
      <x:c r="G69" s="64" t="n">
        <x:v>30</x:v>
      </x:c>
      <x:c r="H69" s="63" t="str">
        <x:v>Knowledge quiz and scenario check</x:v>
      </x:c>
      <x:c r="I69" s="63" t="str">
        <x:v>MapAble Academy Certificate of Completion (non-accredited professional development)</x:v>
      </x:c>
      <x:c r="J69" s="63" t="str">
        <x:v>24 months; confirm through provider risk assessment</x:v>
      </x:c>
      <x:c r="K69" s="63" t="str">
        <x:v>No – unless required by employer, support plan or risk assessment</x:v>
      </x:c>
      <x:c r="L69" s="63" t="str">
        <x:v>No</x:v>
      </x:c>
      <x:c r="M69" s="63" t="str">
        <x:v>Required before publication</x:v>
      </x:c>
      <x:c r="N69" s="63" t="str">
        <x:v>Wave 3 – Specialist</x:v>
      </x:c>
      <x:c r="O69" s="63" t="str">
        <x:v>Planned</x:v>
      </x:c>
      <x:c r="P69" s="63" t="str">
        <x:v>Accessible Transport and Community Access</x:v>
      </x:c>
      <x:c r="Q69" s="63" t="str">
        <x:v>Safe Environment; Community Participation; Transport; Mobility</x:v>
      </x:c>
      <x:c r="R69" s="63" t="str">
        <x:v>Apply the core principles of mobility scooters, power wheelchairs and battery safety within role scope, participant preferences and organisational escalation pathways.</x:v>
      </x:c>
      <x:c r="S69" s="63" t="str">
        <x:v>https://www.ndiscommission.gov.au/workforce/training-workers/guide-for-ndis-providers/training-your-workers</x:v>
      </x:c>
      <x:c r="T69" s="63" t="str">
        <x:v>Course mapping supports evidence and capability development; it does not guarantee provider compliance.</x:v>
      </x:c>
    </x:row>
    <x:row r="70">
      <x:c r="A70" s="62" t="str">
        <x:v>TMC-107</x:v>
      </x:c>
      <x:c r="B70" s="63" t="str">
        <x:v>Transport, Mobility &amp; Community Access</x:v>
      </x:c>
      <x:c r="C70" s="63" t="str">
        <x:v>Supporting Public Transport Navigation</x:v>
      </x:c>
      <x:c r="D70" s="63" t="str">
        <x:v>Support workers, drivers, transport coordinators and provider managers</x:v>
      </x:c>
      <x:c r="E70" s="63" t="str">
        <x:v>Intermediate</x:v>
      </x:c>
      <x:c r="F70" s="63" t="str">
        <x:v>Self-paced eLearning</x:v>
      </x:c>
      <x:c r="G70" s="64" t="n">
        <x:v>40</x:v>
      </x:c>
      <x:c r="H70" s="63" t="str">
        <x:v>Knowledge quiz and scenario check</x:v>
      </x:c>
      <x:c r="I70" s="63" t="str">
        <x:v>MapAble Academy Certificate of Completion (non-accredited professional development)</x:v>
      </x:c>
      <x:c r="J70" s="63" t="str">
        <x:v>24 months; confirm through provider risk assessment</x:v>
      </x:c>
      <x:c r="K70" s="63" t="str">
        <x:v>No – unless required by employer, support plan or risk assessment</x:v>
      </x:c>
      <x:c r="L70" s="63" t="str">
        <x:v>No</x:v>
      </x:c>
      <x:c r="M70" s="63" t="str">
        <x:v>Required before publication</x:v>
      </x:c>
      <x:c r="N70" s="63" t="str">
        <x:v>Wave 2 – Expansion</x:v>
      </x:c>
      <x:c r="O70" s="63" t="str">
        <x:v>Planned</x:v>
      </x:c>
      <x:c r="P70" s="63" t="str">
        <x:v>Accessible Transport and Community Access</x:v>
      </x:c>
      <x:c r="Q70" s="63" t="str">
        <x:v>Safe Environment; Community Participation; Transport; Mobility</x:v>
      </x:c>
      <x:c r="R70" s="63" t="str">
        <x:v>Apply the core principles of supporting public transport navigation within role scope, participant preferences and organisational escalation pathways.</x:v>
      </x:c>
      <x:c r="S70" s="63" t="str">
        <x:v>https://www.ndiscommission.gov.au/workforce/training-workers/guide-for-ndis-providers/training-your-workers</x:v>
      </x:c>
      <x:c r="T70" s="63" t="str">
        <x:v>Course mapping supports evidence and capability development; it does not guarantee provider compliance.</x:v>
      </x:c>
    </x:row>
    <x:row r="71">
      <x:c r="A71" s="62" t="str">
        <x:v>TMC-108</x:v>
      </x:c>
      <x:c r="B71" s="63" t="str">
        <x:v>Transport, Mobility &amp; Community Access</x:v>
      </x:c>
      <x:c r="C71" s="63" t="str">
        <x:v>Community Access, Events and Inclusive Participation</x:v>
      </x:c>
      <x:c r="D71" s="63" t="str">
        <x:v>Support workers, drivers, transport coordinators and provider managers</x:v>
      </x:c>
      <x:c r="E71" s="63" t="str">
        <x:v>Advanced</x:v>
      </x:c>
      <x:c r="F71" s="63" t="str">
        <x:v>Scenario-based eLearning</x:v>
      </x:c>
      <x:c r="G71" s="64" t="n">
        <x:v>50</x:v>
      </x:c>
      <x:c r="H71" s="63" t="str">
        <x:v>Knowledge quiz and scenario check</x:v>
      </x:c>
      <x:c r="I71" s="63" t="str">
        <x:v>MapAble Academy Certificate of Completion (non-accredited professional development)</x:v>
      </x:c>
      <x:c r="J71" s="63" t="str">
        <x:v>24 months; confirm through provider risk assessment</x:v>
      </x:c>
      <x:c r="K71" s="63" t="str">
        <x:v>No – unless required by employer, support plan or risk assessment</x:v>
      </x:c>
      <x:c r="L71" s="63" t="str">
        <x:v>No</x:v>
      </x:c>
      <x:c r="M71" s="63" t="str">
        <x:v>Required before publication</x:v>
      </x:c>
      <x:c r="N71" s="63" t="str">
        <x:v>Wave 2 – Expansion</x:v>
      </x:c>
      <x:c r="O71" s="63" t="str">
        <x:v>Planned</x:v>
      </x:c>
      <x:c r="P71" s="63" t="str">
        <x:v>Accessible Transport and Community Access</x:v>
      </x:c>
      <x:c r="Q71" s="63" t="str">
        <x:v>Safe Environment; Community Participation; Transport; Mobility</x:v>
      </x:c>
      <x:c r="R71" s="63" t="str">
        <x:v>Apply the core principles of community access, events and inclusive participation within role scope, participant preferences and organisational escalation pathways.</x:v>
      </x:c>
      <x:c r="S71" s="63" t="str">
        <x:v>https://www.ndiscommission.gov.au/workforce/training-workers/guide-for-ndis-providers/training-your-workers</x:v>
      </x:c>
      <x:c r="T71" s="63" t="str">
        <x:v>Course mapping supports evidence and capability development; it does not guarantee provider compliance.</x:v>
      </x:c>
    </x:row>
    <x:row r="72">
      <x:c r="A72" s="62" t="str">
        <x:v>TMC-109</x:v>
      </x:c>
      <x:c r="B72" s="63" t="str">
        <x:v>Transport, Mobility &amp; Community Access</x:v>
      </x:c>
      <x:c r="C72" s="63" t="str">
        <x:v>Assistance Animals in Transport and Community Settings</x:v>
      </x:c>
      <x:c r="D72" s="63" t="str">
        <x:v>Support workers, drivers, transport coordinators and provider managers</x:v>
      </x:c>
      <x:c r="E72" s="63" t="str">
        <x:v>Advanced</x:v>
      </x:c>
      <x:c r="F72" s="63" t="str">
        <x:v>Microlearning + knowledge check</x:v>
      </x:c>
      <x:c r="G72" s="64" t="n">
        <x:v>20</x:v>
      </x:c>
      <x:c r="H72" s="63" t="str">
        <x:v>Knowledge quiz and scenario check</x:v>
      </x:c>
      <x:c r="I72" s="63" t="str">
        <x:v>MapAble Academy Certificate of Completion (non-accredited professional development)</x:v>
      </x:c>
      <x:c r="J72" s="63" t="str">
        <x:v>24 months; confirm through provider risk assessment</x:v>
      </x:c>
      <x:c r="K72" s="63" t="str">
        <x:v>No – unless required by employer, support plan or risk assessment</x:v>
      </x:c>
      <x:c r="L72" s="63" t="str">
        <x:v>No</x:v>
      </x:c>
      <x:c r="M72" s="63" t="str">
        <x:v>Required before publication</x:v>
      </x:c>
      <x:c r="N72" s="63" t="str">
        <x:v>Wave 2 – Expansion</x:v>
      </x:c>
      <x:c r="O72" s="63" t="str">
        <x:v>Planned</x:v>
      </x:c>
      <x:c r="P72" s="63" t="str">
        <x:v>Accessible Transport and Community Access</x:v>
      </x:c>
      <x:c r="Q72" s="63" t="str">
        <x:v>Safe Environment; Community Participation; Transport; Mobility</x:v>
      </x:c>
      <x:c r="R72" s="63" t="str">
        <x:v>Apply the core principles of assistance animals in transport and community settings within role scope, participant preferences and organisational escalation pathways.</x:v>
      </x:c>
      <x:c r="S72" s="63" t="str">
        <x:v>https://www.ndiscommission.gov.au/workforce/training-workers/guide-for-ndis-providers/training-your-workers</x:v>
      </x:c>
      <x:c r="T72" s="63" t="str">
        <x:v>Course mapping supports evidence and capability development; it does not guarantee provider compliance.</x:v>
      </x:c>
    </x:row>
    <x:row r="73">
      <x:c r="A73" s="62" t="str">
        <x:v>TMC-110</x:v>
      </x:c>
      <x:c r="B73" s="63" t="str">
        <x:v>Transport, Mobility &amp; Community Access</x:v>
      </x:c>
      <x:c r="C73" s="63" t="str">
        <x:v>Transport Incidents, Breakdowns and Emergency Response</x:v>
      </x:c>
      <x:c r="D73" s="63" t="str">
        <x:v>Support workers, drivers, transport coordinators and provider managers</x:v>
      </x:c>
      <x:c r="E73" s="63" t="str">
        <x:v>Advanced</x:v>
      </x:c>
      <x:c r="F73" s="63" t="str">
        <x:v>Self-paced eLearning</x:v>
      </x:c>
      <x:c r="G73" s="64" t="n">
        <x:v>30</x:v>
      </x:c>
      <x:c r="H73" s="63" t="str">
        <x:v>Knowledge quiz and scenario check</x:v>
      </x:c>
      <x:c r="I73" s="63" t="str">
        <x:v>MapAble Academy Certificate of Completion (non-accredited professional development)</x:v>
      </x:c>
      <x:c r="J73" s="63" t="str">
        <x:v>24 months; confirm through provider risk assessment</x:v>
      </x:c>
      <x:c r="K73" s="63" t="str">
        <x:v>No – unless required by employer, support plan or risk assessment</x:v>
      </x:c>
      <x:c r="L73" s="63" t="str">
        <x:v>No</x:v>
      </x:c>
      <x:c r="M73" s="63" t="str">
        <x:v>Required before publication</x:v>
      </x:c>
      <x:c r="N73" s="63" t="str">
        <x:v>Wave 2 – Expansion</x:v>
      </x:c>
      <x:c r="O73" s="63" t="str">
        <x:v>Planned</x:v>
      </x:c>
      <x:c r="P73" s="63" t="str">
        <x:v>Accessible Transport and Community Access</x:v>
      </x:c>
      <x:c r="Q73" s="63" t="str">
        <x:v>Safe Environment; Community Participation; Transport; Mobility</x:v>
      </x:c>
      <x:c r="R73" s="63" t="str">
        <x:v>Apply the core principles of transport incidents, breakdowns and emergency response within role scope, participant preferences and organisational escalation pathways.</x:v>
      </x:c>
      <x:c r="S73" s="63" t="str">
        <x:v>https://www.ndiscommission.gov.au/workforce/training-workers/guide-for-ndis-providers/training-your-workers</x:v>
      </x:c>
      <x:c r="T73" s="63" t="str">
        <x:v>Course mapping supports evidence and capability development; it does not guarantee provider compliance.</x:v>
      </x:c>
    </x:row>
    <x:row r="74">
      <x:c r="A74" s="62" t="str">
        <x:v>EEP-101</x:v>
      </x:c>
      <x:c r="B74" s="63" t="str">
        <x:v>Employment, Education &amp; Economic Participation</x:v>
      </x:c>
      <x:c r="C74" s="63" t="str">
        <x:v>Disability Rights, Work and Economic Participation</x:v>
      </x:c>
      <x:c r="D74" s="63" t="str">
        <x:v>Employment consultants, support workers, educators, employers and provider leaders</x:v>
      </x:c>
      <x:c r="E74" s="63" t="str">
        <x:v>Foundation</x:v>
      </x:c>
      <x:c r="F74" s="63" t="str">
        <x:v>Microlearning + knowledge check</x:v>
      </x:c>
      <x:c r="G74" s="64" t="n">
        <x:v>20</x:v>
      </x:c>
      <x:c r="H74" s="63" t="str">
        <x:v>Knowledge quiz and scenario check</x:v>
      </x:c>
      <x:c r="I74" s="63" t="str">
        <x:v>MapAble Academy Certificate of Completion (non-accredited professional development)</x:v>
      </x:c>
      <x:c r="J74" s="63" t="str">
        <x:v>24 months; confirm through provider risk assessment</x:v>
      </x:c>
      <x:c r="K74" s="63" t="str">
        <x:v>No – unless required by employer, support plan or risk assessment</x:v>
      </x:c>
      <x:c r="L74" s="63" t="str">
        <x:v>No</x:v>
      </x:c>
      <x:c r="M74" s="63" t="str">
        <x:v>Required before publication</x:v>
      </x:c>
      <x:c r="N74" s="63" t="str">
        <x:v>Wave 2 – Expansion</x:v>
      </x:c>
      <x:c r="O74" s="63" t="str">
        <x:v>Planned</x:v>
      </x:c>
      <x:c r="P74" s="63" t="str">
        <x:v>Inclusive Employment Practice</x:v>
      </x:c>
      <x:c r="Q74" s="63" t="str">
        <x:v>Economic Participation; Reasonable Adjustment; Choice and Control</x:v>
      </x:c>
      <x:c r="R74" s="63" t="str">
        <x:v>Apply the core principles of disability rights, work and economic participation within role scope, participant preferences and organisational escalation pathways.</x:v>
      </x:c>
      <x:c r="S74" s="63" t="str">
        <x:v>https://www.ndiscommission.gov.au/workforce/training-workers/guide-for-ndis-providers/training-your-workers</x:v>
      </x:c>
      <x:c r="T74" s="63" t="str">
        <x:v>Course mapping supports evidence and capability development; it does not guarantee provider compliance.</x:v>
      </x:c>
    </x:row>
    <x:row r="75">
      <x:c r="A75" s="62" t="str">
        <x:v>EEP-102</x:v>
      </x:c>
      <x:c r="B75" s="63" t="str">
        <x:v>Employment, Education &amp; Economic Participation</x:v>
      </x:c>
      <x:c r="C75" s="63" t="str">
        <x:v>Discovery and Strengths-Based Vocational Planning</x:v>
      </x:c>
      <x:c r="D75" s="63" t="str">
        <x:v>Employment consultants, support workers, educators, employers and provider leaders</x:v>
      </x:c>
      <x:c r="E75" s="63" t="str">
        <x:v>Foundation</x:v>
      </x:c>
      <x:c r="F75" s="63" t="str">
        <x:v>Self-paced eLearning</x:v>
      </x:c>
      <x:c r="G75" s="64" t="n">
        <x:v>30</x:v>
      </x:c>
      <x:c r="H75" s="63" t="str">
        <x:v>Knowledge quiz and scenario check</x:v>
      </x:c>
      <x:c r="I75" s="63" t="str">
        <x:v>MapAble Academy Certificate of Completion (non-accredited professional development)</x:v>
      </x:c>
      <x:c r="J75" s="63" t="str">
        <x:v>24 months; confirm through provider risk assessment</x:v>
      </x:c>
      <x:c r="K75" s="63" t="str">
        <x:v>No – unless required by employer, support plan or risk assessment</x:v>
      </x:c>
      <x:c r="L75" s="63" t="str">
        <x:v>No</x:v>
      </x:c>
      <x:c r="M75" s="63" t="str">
        <x:v>Required before publication</x:v>
      </x:c>
      <x:c r="N75" s="63" t="str">
        <x:v>Wave 2 – Expansion</x:v>
      </x:c>
      <x:c r="O75" s="63" t="str">
        <x:v>Planned</x:v>
      </x:c>
      <x:c r="P75" s="63" t="str">
        <x:v>Inclusive Employment Practice</x:v>
      </x:c>
      <x:c r="Q75" s="63" t="str">
        <x:v>Economic Participation; Reasonable Adjustment; Choice and Control</x:v>
      </x:c>
      <x:c r="R75" s="63" t="str">
        <x:v>Apply the core principles of discovery and strengths-based vocational planning within role scope, participant preferences and organisational escalation pathways.</x:v>
      </x:c>
      <x:c r="S75" s="63" t="str">
        <x:v>https://www.ndiscommission.gov.au/workforce/training-workers/guide-for-ndis-providers/training-your-workers</x:v>
      </x:c>
      <x:c r="T75" s="63" t="str">
        <x:v>Course mapping supports evidence and capability development; it does not guarantee provider compliance.</x:v>
      </x:c>
    </x:row>
    <x:row r="76">
      <x:c r="A76" s="62" t="str">
        <x:v>EEP-103</x:v>
      </x:c>
      <x:c r="B76" s="63" t="str">
        <x:v>Employment, Education &amp; Economic Participation</x:v>
      </x:c>
      <x:c r="C76" s="63" t="str">
        <x:v>Job Customisation, Job Carving and Role Design</x:v>
      </x:c>
      <x:c r="D76" s="63" t="str">
        <x:v>Employment consultants, support workers, educators, employers and provider leaders</x:v>
      </x:c>
      <x:c r="E76" s="63" t="str">
        <x:v>Foundation</x:v>
      </x:c>
      <x:c r="F76" s="63" t="str">
        <x:v>Self-paced eLearning</x:v>
      </x:c>
      <x:c r="G76" s="64" t="n">
        <x:v>40</x:v>
      </x:c>
      <x:c r="H76" s="63" t="str">
        <x:v>Knowledge quiz and scenario check</x:v>
      </x:c>
      <x:c r="I76" s="63" t="str">
        <x:v>MapAble Academy Certificate of Completion (non-accredited professional development)</x:v>
      </x:c>
      <x:c r="J76" s="63" t="str">
        <x:v>24 months; confirm through provider risk assessment</x:v>
      </x:c>
      <x:c r="K76" s="63" t="str">
        <x:v>No – unless required by employer, support plan or risk assessment</x:v>
      </x:c>
      <x:c r="L76" s="63" t="str">
        <x:v>No</x:v>
      </x:c>
      <x:c r="M76" s="63" t="str">
        <x:v>Required before publication</x:v>
      </x:c>
      <x:c r="N76" s="63" t="str">
        <x:v>Wave 2 – Expansion</x:v>
      </x:c>
      <x:c r="O76" s="63" t="str">
        <x:v>Planned</x:v>
      </x:c>
      <x:c r="P76" s="63" t="str">
        <x:v>Inclusive Employment Practice</x:v>
      </x:c>
      <x:c r="Q76" s="63" t="str">
        <x:v>Economic Participation; Reasonable Adjustment; Choice and Control</x:v>
      </x:c>
      <x:c r="R76" s="63" t="str">
        <x:v>Apply the core principles of job customisation, job carving and role design within role scope, participant preferences and organisational escalation pathways.</x:v>
      </x:c>
      <x:c r="S76" s="63" t="str">
        <x:v>https://www.ndiscommission.gov.au/workforce/training-workers/guide-for-ndis-providers/training-your-workers</x:v>
      </x:c>
      <x:c r="T76" s="63" t="str">
        <x:v>Course mapping supports evidence and capability development; it does not guarantee provider compliance.</x:v>
      </x:c>
    </x:row>
    <x:row r="77">
      <x:c r="A77" s="62" t="str">
        <x:v>EEP-104</x:v>
      </x:c>
      <x:c r="B77" s="63" t="str">
        <x:v>Employment, Education &amp; Economic Participation</x:v>
      </x:c>
      <x:c r="C77" s="63" t="str">
        <x:v>Reasonable Adjustments and Workplace Accessibility</x:v>
      </x:c>
      <x:c r="D77" s="63" t="str">
        <x:v>Employment consultants, support workers, educators, employers and provider leaders</x:v>
      </x:c>
      <x:c r="E77" s="63" t="str">
        <x:v>Intermediate</x:v>
      </x:c>
      <x:c r="F77" s="63" t="str">
        <x:v>Scenario-based eLearning</x:v>
      </x:c>
      <x:c r="G77" s="64" t="n">
        <x:v>50</x:v>
      </x:c>
      <x:c r="H77" s="63" t="str">
        <x:v>Knowledge quiz and scenario check</x:v>
      </x:c>
      <x:c r="I77" s="63" t="str">
        <x:v>MapAble Academy Certificate of Completion (non-accredited professional development)</x:v>
      </x:c>
      <x:c r="J77" s="63" t="str">
        <x:v>24 months; confirm through provider risk assessment</x:v>
      </x:c>
      <x:c r="K77" s="63" t="str">
        <x:v>No – unless required by employer, support plan or risk assessment</x:v>
      </x:c>
      <x:c r="L77" s="63" t="str">
        <x:v>No</x:v>
      </x:c>
      <x:c r="M77" s="63" t="str">
        <x:v>Required before publication</x:v>
      </x:c>
      <x:c r="N77" s="63" t="str">
        <x:v>Wave 2 – Expansion</x:v>
      </x:c>
      <x:c r="O77" s="63" t="str">
        <x:v>Planned</x:v>
      </x:c>
      <x:c r="P77" s="63" t="str">
        <x:v>Inclusive Employment Practice</x:v>
      </x:c>
      <x:c r="Q77" s="63" t="str">
        <x:v>Economic Participation; Reasonable Adjustment; Choice and Control</x:v>
      </x:c>
      <x:c r="R77" s="63" t="str">
        <x:v>Apply the core principles of reasonable adjustments and workplace accessibility within role scope, participant preferences and organisational escalation pathways.</x:v>
      </x:c>
      <x:c r="S77" s="63" t="str">
        <x:v>https://www.ndiscommission.gov.au/workforce/training-workers/guide-for-ndis-providers/training-your-workers</x:v>
      </x:c>
      <x:c r="T77" s="63" t="str">
        <x:v>Course mapping supports evidence and capability development; it does not guarantee provider compliance.</x:v>
      </x:c>
    </x:row>
    <x:row r="78">
      <x:c r="A78" s="62" t="str">
        <x:v>EEP-105</x:v>
      </x:c>
      <x:c r="B78" s="63" t="str">
        <x:v>Employment, Education &amp; Economic Participation</x:v>
      </x:c>
      <x:c r="C78" s="63" t="str">
        <x:v>Accessible Recruitment and Selection</x:v>
      </x:c>
      <x:c r="D78" s="63" t="str">
        <x:v>Employment consultants, support workers, educators, employers and provider leaders</x:v>
      </x:c>
      <x:c r="E78" s="63" t="str">
        <x:v>Intermediate</x:v>
      </x:c>
      <x:c r="F78" s="63" t="str">
        <x:v>Microlearning + knowledge check</x:v>
      </x:c>
      <x:c r="G78" s="64" t="n">
        <x:v>20</x:v>
      </x:c>
      <x:c r="H78" s="63" t="str">
        <x:v>Knowledge quiz and scenario check</x:v>
      </x:c>
      <x:c r="I78" s="63" t="str">
        <x:v>MapAble Academy Certificate of Completion (non-accredited professional development)</x:v>
      </x:c>
      <x:c r="J78" s="63" t="str">
        <x:v>24 months; confirm through provider risk assessment</x:v>
      </x:c>
      <x:c r="K78" s="63" t="str">
        <x:v>No – unless required by employer, support plan or risk assessment</x:v>
      </x:c>
      <x:c r="L78" s="63" t="str">
        <x:v>No</x:v>
      </x:c>
      <x:c r="M78" s="63" t="str">
        <x:v>Required before publication</x:v>
      </x:c>
      <x:c r="N78" s="63" t="str">
        <x:v>Wave 2 – Expansion</x:v>
      </x:c>
      <x:c r="O78" s="63" t="str">
        <x:v>Planned</x:v>
      </x:c>
      <x:c r="P78" s="63" t="str">
        <x:v>Inclusive Employment Practice</x:v>
      </x:c>
      <x:c r="Q78" s="63" t="str">
        <x:v>Economic Participation; Reasonable Adjustment; Choice and Control</x:v>
      </x:c>
      <x:c r="R78" s="63" t="str">
        <x:v>Apply the core principles of accessible recruitment and selection within role scope, participant preferences and organisational escalation pathways.</x:v>
      </x:c>
      <x:c r="S78" s="63" t="str">
        <x:v>https://www.ndiscommission.gov.au/workforce/training-workers/guide-for-ndis-providers/training-your-workers</x:v>
      </x:c>
      <x:c r="T78" s="63" t="str">
        <x:v>Course mapping supports evidence and capability development; it does not guarantee provider compliance.</x:v>
      </x:c>
    </x:row>
    <x:row r="79">
      <x:c r="A79" s="62" t="str">
        <x:v>EEP-106</x:v>
      </x:c>
      <x:c r="B79" s="63" t="str">
        <x:v>Employment, Education &amp; Economic Participation</x:v>
      </x:c>
      <x:c r="C79" s="63" t="str">
        <x:v>Neuroinclusive Workplace Communication</x:v>
      </x:c>
      <x:c r="D79" s="63" t="str">
        <x:v>Employment consultants, support workers, educators, employers and provider leaders</x:v>
      </x:c>
      <x:c r="E79" s="63" t="str">
        <x:v>Intermediate</x:v>
      </x:c>
      <x:c r="F79" s="63" t="str">
        <x:v>Self-paced eLearning</x:v>
      </x:c>
      <x:c r="G79" s="64" t="n">
        <x:v>30</x:v>
      </x:c>
      <x:c r="H79" s="63" t="str">
        <x:v>Knowledge quiz and scenario check</x:v>
      </x:c>
      <x:c r="I79" s="63" t="str">
        <x:v>MapAble Academy Certificate of Completion (non-accredited professional development)</x:v>
      </x:c>
      <x:c r="J79" s="63" t="str">
        <x:v>24 months; confirm through provider risk assessment</x:v>
      </x:c>
      <x:c r="K79" s="63" t="str">
        <x:v>No – unless required by employer, support plan or risk assessment</x:v>
      </x:c>
      <x:c r="L79" s="63" t="str">
        <x:v>No</x:v>
      </x:c>
      <x:c r="M79" s="63" t="str">
        <x:v>Required before publication</x:v>
      </x:c>
      <x:c r="N79" s="63" t="str">
        <x:v>Wave 2 – Expansion</x:v>
      </x:c>
      <x:c r="O79" s="63" t="str">
        <x:v>Planned</x:v>
      </x:c>
      <x:c r="P79" s="63" t="str">
        <x:v>Inclusive Employment Practice</x:v>
      </x:c>
      <x:c r="Q79" s="63" t="str">
        <x:v>Economic Participation; Reasonable Adjustment; Choice and Control</x:v>
      </x:c>
      <x:c r="R79" s="63" t="str">
        <x:v>Apply the core principles of neuroinclusive workplace communication within role scope, participant preferences and organisational escalation pathways.</x:v>
      </x:c>
      <x:c r="S79" s="63" t="str">
        <x:v>https://www.ndiscommission.gov.au/workforce/training-workers/guide-for-ndis-providers/training-your-workers</x:v>
      </x:c>
      <x:c r="T79" s="63" t="str">
        <x:v>Course mapping supports evidence and capability development; it does not guarantee provider compliance.</x:v>
      </x:c>
    </x:row>
    <x:row r="80">
      <x:c r="A80" s="62" t="str">
        <x:v>EEP-107</x:v>
      </x:c>
      <x:c r="B80" s="63" t="str">
        <x:v>Employment, Education &amp; Economic Participation</x:v>
      </x:c>
      <x:c r="C80" s="63" t="str">
        <x:v>Disclosure, Privacy and Workplace Advocacy</x:v>
      </x:c>
      <x:c r="D80" s="63" t="str">
        <x:v>Employment consultants, support workers, educators, employers and provider leaders</x:v>
      </x:c>
      <x:c r="E80" s="63" t="str">
        <x:v>Intermediate</x:v>
      </x:c>
      <x:c r="F80" s="63" t="str">
        <x:v>Self-paced eLearning</x:v>
      </x:c>
      <x:c r="G80" s="64" t="n">
        <x:v>40</x:v>
      </x:c>
      <x:c r="H80" s="63" t="str">
        <x:v>Knowledge quiz and scenario check</x:v>
      </x:c>
      <x:c r="I80" s="63" t="str">
        <x:v>MapAble Academy Certificate of Completion (non-accredited professional development)</x:v>
      </x:c>
      <x:c r="J80" s="63" t="str">
        <x:v>24 months; confirm through provider risk assessment</x:v>
      </x:c>
      <x:c r="K80" s="63" t="str">
        <x:v>No – unless required by employer, support plan or risk assessment</x:v>
      </x:c>
      <x:c r="L80" s="63" t="str">
        <x:v>No</x:v>
      </x:c>
      <x:c r="M80" s="63" t="str">
        <x:v>Required before publication</x:v>
      </x:c>
      <x:c r="N80" s="63" t="str">
        <x:v>Wave 2 – Expansion</x:v>
      </x:c>
      <x:c r="O80" s="63" t="str">
        <x:v>Planned</x:v>
      </x:c>
      <x:c r="P80" s="63" t="str">
        <x:v>Inclusive Employment Practice</x:v>
      </x:c>
      <x:c r="Q80" s="63" t="str">
        <x:v>Economic Participation; Reasonable Adjustment; Choice and Control</x:v>
      </x:c>
      <x:c r="R80" s="63" t="str">
        <x:v>Apply the core principles of disclosure, privacy and workplace advocacy within role scope, participant preferences and organisational escalation pathways.</x:v>
      </x:c>
      <x:c r="S80" s="63" t="str">
        <x:v>https://www.ndiscommission.gov.au/workforce/training-workers/guide-for-ndis-providers/training-your-workers</x:v>
      </x:c>
      <x:c r="T80" s="63" t="str">
        <x:v>Course mapping supports evidence and capability development; it does not guarantee provider compliance.</x:v>
      </x:c>
    </x:row>
    <x:row r="81">
      <x:c r="A81" s="62" t="str">
        <x:v>EEP-108</x:v>
      </x:c>
      <x:c r="B81" s="63" t="str">
        <x:v>Employment, Education &amp; Economic Participation</x:v>
      </x:c>
      <x:c r="C81" s="63" t="str">
        <x:v>Employer Coaching and Natural Workplace Supports</x:v>
      </x:c>
      <x:c r="D81" s="63" t="str">
        <x:v>Employment consultants, support workers, educators, employers and provider leaders</x:v>
      </x:c>
      <x:c r="E81" s="63" t="str">
        <x:v>Advanced</x:v>
      </x:c>
      <x:c r="F81" s="63" t="str">
        <x:v>Scenario-based eLearning</x:v>
      </x:c>
      <x:c r="G81" s="64" t="n">
        <x:v>50</x:v>
      </x:c>
      <x:c r="H81" s="63" t="str">
        <x:v>Knowledge quiz and scenario check</x:v>
      </x:c>
      <x:c r="I81" s="63" t="str">
        <x:v>MapAble Academy Certificate of Completion (non-accredited professional development)</x:v>
      </x:c>
      <x:c r="J81" s="63" t="str">
        <x:v>24 months; confirm through provider risk assessment</x:v>
      </x:c>
      <x:c r="K81" s="63" t="str">
        <x:v>No – unless required by employer, support plan or risk assessment</x:v>
      </x:c>
      <x:c r="L81" s="63" t="str">
        <x:v>No</x:v>
      </x:c>
      <x:c r="M81" s="63" t="str">
        <x:v>Required before publication</x:v>
      </x:c>
      <x:c r="N81" s="63" t="str">
        <x:v>Wave 2 – Expansion</x:v>
      </x:c>
      <x:c r="O81" s="63" t="str">
        <x:v>Planned</x:v>
      </x:c>
      <x:c r="P81" s="63" t="str">
        <x:v>Inclusive Employment Practice</x:v>
      </x:c>
      <x:c r="Q81" s="63" t="str">
        <x:v>Economic Participation; Reasonable Adjustment; Choice and Control</x:v>
      </x:c>
      <x:c r="R81" s="63" t="str">
        <x:v>Apply the core principles of employer coaching and natural workplace supports within role scope, participant preferences and organisational escalation pathways.</x:v>
      </x:c>
      <x:c r="S81" s="63" t="str">
        <x:v>https://www.ndiscommission.gov.au/workforce/training-workers/guide-for-ndis-providers/training-your-workers</x:v>
      </x:c>
      <x:c r="T81" s="63" t="str">
        <x:v>Course mapping supports evidence and capability development; it does not guarantee provider compliance.</x:v>
      </x:c>
    </x:row>
    <x:row r="82">
      <x:c r="A82" s="62" t="str">
        <x:v>EEP-109</x:v>
      </x:c>
      <x:c r="B82" s="63" t="str">
        <x:v>Employment, Education &amp; Economic Participation</x:v>
      </x:c>
      <x:c r="C82" s="63" t="str">
        <x:v>Transition from School or Education to Employment</x:v>
      </x:c>
      <x:c r="D82" s="63" t="str">
        <x:v>Employment consultants, support workers, educators, employers and provider leaders</x:v>
      </x:c>
      <x:c r="E82" s="63" t="str">
        <x:v>Advanced</x:v>
      </x:c>
      <x:c r="F82" s="63" t="str">
        <x:v>Microlearning + knowledge check</x:v>
      </x:c>
      <x:c r="G82" s="64" t="n">
        <x:v>20</x:v>
      </x:c>
      <x:c r="H82" s="63" t="str">
        <x:v>Knowledge quiz and scenario check</x:v>
      </x:c>
      <x:c r="I82" s="63" t="str">
        <x:v>MapAble Academy Certificate of Completion (non-accredited professional development)</x:v>
      </x:c>
      <x:c r="J82" s="63" t="str">
        <x:v>24 months; confirm through provider risk assessment</x:v>
      </x:c>
      <x:c r="K82" s="63" t="str">
        <x:v>No – unless required by employer, support plan or risk assessment</x:v>
      </x:c>
      <x:c r="L82" s="63" t="str">
        <x:v>No</x:v>
      </x:c>
      <x:c r="M82" s="63" t="str">
        <x:v>Required before publication</x:v>
      </x:c>
      <x:c r="N82" s="63" t="str">
        <x:v>Wave 2 – Expansion</x:v>
      </x:c>
      <x:c r="O82" s="63" t="str">
        <x:v>Planned</x:v>
      </x:c>
      <x:c r="P82" s="63" t="str">
        <x:v>Inclusive Employment Practice</x:v>
      </x:c>
      <x:c r="Q82" s="63" t="str">
        <x:v>Economic Participation; Reasonable Adjustment; Choice and Control</x:v>
      </x:c>
      <x:c r="R82" s="63" t="str">
        <x:v>Apply the core principles of transition from school or education to employment within role scope, participant preferences and organisational escalation pathways.</x:v>
      </x:c>
      <x:c r="S82" s="63" t="str">
        <x:v>https://www.ndiscommission.gov.au/workforce/training-workers/guide-for-ndis-providers/training-your-workers</x:v>
      </x:c>
      <x:c r="T82" s="63" t="str">
        <x:v>Course mapping supports evidence and capability development; it does not guarantee provider compliance.</x:v>
      </x:c>
    </x:row>
    <x:row r="83">
      <x:c r="A83" s="62" t="str">
        <x:v>EEP-110</x:v>
      </x:c>
      <x:c r="B83" s="63" t="str">
        <x:v>Employment, Education &amp; Economic Participation</x:v>
      </x:c>
      <x:c r="C83" s="63" t="str">
        <x:v>Sustaining Employment and Resolving Workplace Barriers</x:v>
      </x:c>
      <x:c r="D83" s="63" t="str">
        <x:v>Employment consultants, support workers, educators, employers and provider leaders</x:v>
      </x:c>
      <x:c r="E83" s="63" t="str">
        <x:v>Advanced</x:v>
      </x:c>
      <x:c r="F83" s="63" t="str">
        <x:v>Self-paced eLearning</x:v>
      </x:c>
      <x:c r="G83" s="64" t="n">
        <x:v>30</x:v>
      </x:c>
      <x:c r="H83" s="63" t="str">
        <x:v>Knowledge quiz and scenario check</x:v>
      </x:c>
      <x:c r="I83" s="63" t="str">
        <x:v>MapAble Academy Certificate of Completion (non-accredited professional development)</x:v>
      </x:c>
      <x:c r="J83" s="63" t="str">
        <x:v>24 months; confirm through provider risk assessment</x:v>
      </x:c>
      <x:c r="K83" s="63" t="str">
        <x:v>No – unless required by employer, support plan or risk assessment</x:v>
      </x:c>
      <x:c r="L83" s="63" t="str">
        <x:v>No</x:v>
      </x:c>
      <x:c r="M83" s="63" t="str">
        <x:v>Required before publication</x:v>
      </x:c>
      <x:c r="N83" s="63" t="str">
        <x:v>Wave 2 – Expansion</x:v>
      </x:c>
      <x:c r="O83" s="63" t="str">
        <x:v>Planned</x:v>
      </x:c>
      <x:c r="P83" s="63" t="str">
        <x:v>Inclusive Employment Practice</x:v>
      </x:c>
      <x:c r="Q83" s="63" t="str">
        <x:v>Economic Participation; Reasonable Adjustment; Choice and Control</x:v>
      </x:c>
      <x:c r="R83" s="63" t="str">
        <x:v>Apply the core principles of sustaining employment and resolving workplace barriers within role scope, participant preferences and organisational escalation pathways.</x:v>
      </x:c>
      <x:c r="S83" s="63" t="str">
        <x:v>https://www.ndiscommission.gov.au/workforce/training-workers/guide-for-ndis-providers/training-your-workers</x:v>
      </x:c>
      <x:c r="T83" s="63" t="str">
        <x:v>Course mapping supports evidence and capability development; it does not guarantee provider compliance.</x:v>
      </x:c>
    </x:row>
    <x:row r="84">
      <x:c r="A84" s="62" t="str">
        <x:v>SNP-101</x:v>
      </x:c>
      <x:c r="B84" s="63" t="str">
        <x:v>Support Coordination, Navigation &amp; Plan Management</x:v>
      </x:c>
      <x:c r="C84" s="63" t="str">
        <x:v>Support Coordination Foundations</x:v>
      </x:c>
      <x:c r="D84" s="63" t="str">
        <x:v>Support coordinators, recovery coaches, plan managers and provider leaders</x:v>
      </x:c>
      <x:c r="E84" s="63" t="str">
        <x:v>Foundation</x:v>
      </x:c>
      <x:c r="F84" s="63" t="str">
        <x:v>Microlearning + knowledge check</x:v>
      </x:c>
      <x:c r="G84" s="64" t="n">
        <x:v>20</x:v>
      </x:c>
      <x:c r="H84" s="63" t="str">
        <x:v>Knowledge quiz and scenario check</x:v>
      </x:c>
      <x:c r="I84" s="63" t="str">
        <x:v>MapAble Academy Certificate of Completion (non-accredited professional development)</x:v>
      </x:c>
      <x:c r="J84" s="63" t="str">
        <x:v>24 months; confirm through provider risk assessment</x:v>
      </x:c>
      <x:c r="K84" s="63" t="str">
        <x:v>No – unless required by employer, support plan or risk assessment</x:v>
      </x:c>
      <x:c r="L84" s="63" t="str">
        <x:v>No</x:v>
      </x:c>
      <x:c r="M84" s="63" t="str">
        <x:v>Required before publication</x:v>
      </x:c>
      <x:c r="N84" s="63" t="str">
        <x:v>Wave 2 – Expansion</x:v>
      </x:c>
      <x:c r="O84" s="63" t="str">
        <x:v>Planned</x:v>
      </x:c>
      <x:c r="P84" s="63" t="str">
        <x:v>NDIS Navigation Practice</x:v>
      </x:c>
      <x:c r="Q84" s="63" t="str">
        <x:v>Support Coordination; Plan Implementation; Conflict of Interest; Service Agreements</x:v>
      </x:c>
      <x:c r="R84" s="63" t="str">
        <x:v>Apply the core principles of support coordination foundations within role scope, participant preferences and organisational escalation pathways.</x:v>
      </x:c>
      <x:c r="S84" s="63" t="str">
        <x:v>https://www.ndiscommission.gov.au/rules-and-standards/ndis-practice-standards</x:v>
      </x:c>
      <x:c r="T84" s="63" t="str">
        <x:v>Course mapping supports evidence and capability development; it does not guarantee provider compliance.</x:v>
      </x:c>
    </x:row>
    <x:row r="85">
      <x:c r="A85" s="62" t="str">
        <x:v>SNP-102</x:v>
      </x:c>
      <x:c r="B85" s="63" t="str">
        <x:v>Support Coordination, Navigation &amp; Plan Management</x:v>
      </x:c>
      <x:c r="C85" s="63" t="str">
        <x:v>Implementing an NDIS Plan with the Participant</x:v>
      </x:c>
      <x:c r="D85" s="63" t="str">
        <x:v>Support coordinators, recovery coaches, plan managers and provider leaders</x:v>
      </x:c>
      <x:c r="E85" s="63" t="str">
        <x:v>Foundation</x:v>
      </x:c>
      <x:c r="F85" s="63" t="str">
        <x:v>Self-paced eLearning</x:v>
      </x:c>
      <x:c r="G85" s="64" t="n">
        <x:v>30</x:v>
      </x:c>
      <x:c r="H85" s="63" t="str">
        <x:v>Knowledge quiz and scenario check</x:v>
      </x:c>
      <x:c r="I85" s="63" t="str">
        <x:v>MapAble Academy Certificate of Completion (non-accredited professional development)</x:v>
      </x:c>
      <x:c r="J85" s="63" t="str">
        <x:v>24 months; confirm through provider risk assessment</x:v>
      </x:c>
      <x:c r="K85" s="63" t="str">
        <x:v>No – unless required by employer, support plan or risk assessment</x:v>
      </x:c>
      <x:c r="L85" s="63" t="str">
        <x:v>No</x:v>
      </x:c>
      <x:c r="M85" s="63" t="str">
        <x:v>Required before publication</x:v>
      </x:c>
      <x:c r="N85" s="63" t="str">
        <x:v>Wave 2 – Expansion</x:v>
      </x:c>
      <x:c r="O85" s="63" t="str">
        <x:v>Planned</x:v>
      </x:c>
      <x:c r="P85" s="63" t="str">
        <x:v>NDIS Navigation Practice</x:v>
      </x:c>
      <x:c r="Q85" s="63" t="str">
        <x:v>Support Coordination; Plan Implementation; Conflict of Interest; Service Agreements</x:v>
      </x:c>
      <x:c r="R85" s="63" t="str">
        <x:v>Apply the core principles of implementing an ndis plan with the participant within role scope, participant preferences and organisational escalation pathways.</x:v>
      </x:c>
      <x:c r="S85" s="63" t="str">
        <x:v>https://www.ndiscommission.gov.au/rules-and-standards/ndis-practice-standards</x:v>
      </x:c>
      <x:c r="T85" s="63" t="str">
        <x:v>Course mapping supports evidence and capability development; it does not guarantee provider compliance.</x:v>
      </x:c>
    </x:row>
    <x:row r="86">
      <x:c r="A86" s="62" t="str">
        <x:v>SNP-103</x:v>
      </x:c>
      <x:c r="B86" s="63" t="str">
        <x:v>Support Coordination, Navigation &amp; Plan Management</x:v>
      </x:c>
      <x:c r="C86" s="63" t="str">
        <x:v>Funding Categories, Budgets and Plan Utilisation</x:v>
      </x:c>
      <x:c r="D86" s="63" t="str">
        <x:v>Support coordinators, recovery coaches, plan managers and provider leaders</x:v>
      </x:c>
      <x:c r="E86" s="63" t="str">
        <x:v>Foundation</x:v>
      </x:c>
      <x:c r="F86" s="63" t="str">
        <x:v>Self-paced eLearning</x:v>
      </x:c>
      <x:c r="G86" s="64" t="n">
        <x:v>40</x:v>
      </x:c>
      <x:c r="H86" s="63" t="str">
        <x:v>Knowledge quiz and scenario check</x:v>
      </x:c>
      <x:c r="I86" s="63" t="str">
        <x:v>MapAble Academy Certificate of Completion (non-accredited professional development)</x:v>
      </x:c>
      <x:c r="J86" s="63" t="str">
        <x:v>24 months; confirm through provider risk assessment</x:v>
      </x:c>
      <x:c r="K86" s="63" t="str">
        <x:v>No – unless required by employer, support plan or risk assessment</x:v>
      </x:c>
      <x:c r="L86" s="63" t="str">
        <x:v>No</x:v>
      </x:c>
      <x:c r="M86" s="63" t="str">
        <x:v>Required before publication</x:v>
      </x:c>
      <x:c r="N86" s="63" t="str">
        <x:v>Wave 2 – Expansion</x:v>
      </x:c>
      <x:c r="O86" s="63" t="str">
        <x:v>Planned</x:v>
      </x:c>
      <x:c r="P86" s="63" t="str">
        <x:v>NDIS Navigation Practice</x:v>
      </x:c>
      <x:c r="Q86" s="63" t="str">
        <x:v>Support Coordination; Plan Implementation; Conflict of Interest; Service Agreements</x:v>
      </x:c>
      <x:c r="R86" s="63" t="str">
        <x:v>Apply the core principles of funding categories, budgets and plan utilisation within role scope, participant preferences and organisational escalation pathways.</x:v>
      </x:c>
      <x:c r="S86" s="63" t="str">
        <x:v>https://www.ndiscommission.gov.au/rules-and-standards/ndis-practice-standards</x:v>
      </x:c>
      <x:c r="T86" s="63" t="str">
        <x:v>Course mapping supports evidence and capability development; it does not guarantee provider compliance.</x:v>
      </x:c>
    </x:row>
    <x:row r="87">
      <x:c r="A87" s="62" t="str">
        <x:v>SNP-104</x:v>
      </x:c>
      <x:c r="B87" s="63" t="str">
        <x:v>Support Coordination, Navigation &amp; Plan Management</x:v>
      </x:c>
      <x:c r="C87" s="63" t="str">
        <x:v>Service Agreements, Consent and Clear Expectations</x:v>
      </x:c>
      <x:c r="D87" s="63" t="str">
        <x:v>Support coordinators, recovery coaches, plan managers and provider leaders</x:v>
      </x:c>
      <x:c r="E87" s="63" t="str">
        <x:v>Intermediate</x:v>
      </x:c>
      <x:c r="F87" s="63" t="str">
        <x:v>Scenario-based eLearning</x:v>
      </x:c>
      <x:c r="G87" s="64" t="n">
        <x:v>50</x:v>
      </x:c>
      <x:c r="H87" s="63" t="str">
        <x:v>Knowledge quiz and scenario check</x:v>
      </x:c>
      <x:c r="I87" s="63" t="str">
        <x:v>MapAble Academy Certificate of Completion (non-accredited professional development)</x:v>
      </x:c>
      <x:c r="J87" s="63" t="str">
        <x:v>24 months; confirm through provider risk assessment</x:v>
      </x:c>
      <x:c r="K87" s="63" t="str">
        <x:v>No – unless required by employer, support plan or risk assessment</x:v>
      </x:c>
      <x:c r="L87" s="63" t="str">
        <x:v>No</x:v>
      </x:c>
      <x:c r="M87" s="63" t="str">
        <x:v>Required before publication</x:v>
      </x:c>
      <x:c r="N87" s="63" t="str">
        <x:v>Wave 2 – Expansion</x:v>
      </x:c>
      <x:c r="O87" s="63" t="str">
        <x:v>Planned</x:v>
      </x:c>
      <x:c r="P87" s="63" t="str">
        <x:v>NDIS Navigation Practice</x:v>
      </x:c>
      <x:c r="Q87" s="63" t="str">
        <x:v>Support Coordination; Plan Implementation; Conflict of Interest; Service Agreements</x:v>
      </x:c>
      <x:c r="R87" s="63" t="str">
        <x:v>Apply the core principles of service agreements, consent and clear expectations within role scope, participant preferences and organisational escalation pathways.</x:v>
      </x:c>
      <x:c r="S87" s="63" t="str">
        <x:v>https://www.ndiscommission.gov.au/rules-and-standards/ndis-practice-standards</x:v>
      </x:c>
      <x:c r="T87" s="63" t="str">
        <x:v>Course mapping supports evidence and capability development; it does not guarantee provider compliance.</x:v>
      </x:c>
    </x:row>
    <x:row r="88">
      <x:c r="A88" s="62" t="str">
        <x:v>SNP-105</x:v>
      </x:c>
      <x:c r="B88" s="63" t="str">
        <x:v>Support Coordination, Navigation &amp; Plan Management</x:v>
      </x:c>
      <x:c r="C88" s="63" t="str">
        <x:v>Conflict of Interest and Participant-Led Provider Choice</x:v>
      </x:c>
      <x:c r="D88" s="63" t="str">
        <x:v>Support coordinators, recovery coaches, plan managers and provider leaders</x:v>
      </x:c>
      <x:c r="E88" s="63" t="str">
        <x:v>Intermediate</x:v>
      </x:c>
      <x:c r="F88" s="63" t="str">
        <x:v>Microlearning + knowledge check</x:v>
      </x:c>
      <x:c r="G88" s="64" t="n">
        <x:v>20</x:v>
      </x:c>
      <x:c r="H88" s="63" t="str">
        <x:v>Knowledge quiz and scenario check</x:v>
      </x:c>
      <x:c r="I88" s="63" t="str">
        <x:v>MapAble Academy Certificate of Completion (non-accredited professional development)</x:v>
      </x:c>
      <x:c r="J88" s="63" t="str">
        <x:v>24 months; confirm through provider risk assessment</x:v>
      </x:c>
      <x:c r="K88" s="63" t="str">
        <x:v>No – unless required by employer, support plan or risk assessment</x:v>
      </x:c>
      <x:c r="L88" s="63" t="str">
        <x:v>No</x:v>
      </x:c>
      <x:c r="M88" s="63" t="str">
        <x:v>Required before publication</x:v>
      </x:c>
      <x:c r="N88" s="63" t="str">
        <x:v>Wave 2 – Expansion</x:v>
      </x:c>
      <x:c r="O88" s="63" t="str">
        <x:v>Planned</x:v>
      </x:c>
      <x:c r="P88" s="63" t="str">
        <x:v>NDIS Navigation Practice</x:v>
      </x:c>
      <x:c r="Q88" s="63" t="str">
        <x:v>Support Coordination; Plan Implementation; Conflict of Interest; Service Agreements</x:v>
      </x:c>
      <x:c r="R88" s="63" t="str">
        <x:v>Apply the core principles of conflict of interest and participant-led provider choice within role scope, participant preferences and organisational escalation pathways.</x:v>
      </x:c>
      <x:c r="S88" s="63" t="str">
        <x:v>https://www.ndiscommission.gov.au/rules-and-standards/ndis-practice-standards</x:v>
      </x:c>
      <x:c r="T88" s="63" t="str">
        <x:v>Course mapping supports evidence and capability development; it does not guarantee provider compliance.</x:v>
      </x:c>
    </x:row>
    <x:row r="89">
      <x:c r="A89" s="62" t="str">
        <x:v>SNP-106</x:v>
      </x:c>
      <x:c r="B89" s="63" t="str">
        <x:v>Support Coordination, Navigation &amp; Plan Management</x:v>
      </x:c>
      <x:c r="C89" s="63" t="str">
        <x:v>Finding, Comparing and Monitoring Providers</x:v>
      </x:c>
      <x:c r="D89" s="63" t="str">
        <x:v>Support coordinators, recovery coaches, plan managers and provider leaders</x:v>
      </x:c>
      <x:c r="E89" s="63" t="str">
        <x:v>Intermediate</x:v>
      </x:c>
      <x:c r="F89" s="63" t="str">
        <x:v>Self-paced eLearning</x:v>
      </x:c>
      <x:c r="G89" s="64" t="n">
        <x:v>30</x:v>
      </x:c>
      <x:c r="H89" s="63" t="str">
        <x:v>Case study and applied action plan</x:v>
      </x:c>
      <x:c r="I89" s="63" t="str">
        <x:v>MapAble Academy Certificate of Completion (non-accredited professional development)</x:v>
      </x:c>
      <x:c r="J89" s="63" t="str">
        <x:v>24 months; confirm through provider risk assessment</x:v>
      </x:c>
      <x:c r="K89" s="63" t="str">
        <x:v>No – unless required by employer, support plan or risk assessment</x:v>
      </x:c>
      <x:c r="L89" s="63" t="str">
        <x:v>No</x:v>
      </x:c>
      <x:c r="M89" s="63" t="str">
        <x:v>Required before publication</x:v>
      </x:c>
      <x:c r="N89" s="63" t="str">
        <x:v>Wave 2 – Expansion</x:v>
      </x:c>
      <x:c r="O89" s="63" t="str">
        <x:v>Planned</x:v>
      </x:c>
      <x:c r="P89" s="63" t="str">
        <x:v>NDIS Navigation Practice</x:v>
      </x:c>
      <x:c r="Q89" s="63" t="str">
        <x:v>Support Coordination; Plan Implementation; Conflict of Interest; Service Agreements</x:v>
      </x:c>
      <x:c r="R89" s="63" t="str">
        <x:v>Apply the core principles of finding, comparing and monitoring providers within role scope, participant preferences and organisational escalation pathways.</x:v>
      </x:c>
      <x:c r="S89" s="63" t="str">
        <x:v>https://www.ndiscommission.gov.au/rules-and-standards/ndis-practice-standards</x:v>
      </x:c>
      <x:c r="T89" s="63" t="str">
        <x:v>Course mapping supports evidence and capability development; it does not guarantee provider compliance.</x:v>
      </x:c>
    </x:row>
    <x:row r="90">
      <x:c r="A90" s="62" t="str">
        <x:v>SNP-107</x:v>
      </x:c>
      <x:c r="B90" s="63" t="str">
        <x:v>Support Coordination, Navigation &amp; Plan Management</x:v>
      </x:c>
      <x:c r="C90" s="63" t="str">
        <x:v>Plan Reassessments, Variations and Change of Circumstances</x:v>
      </x:c>
      <x:c r="D90" s="63" t="str">
        <x:v>Support coordinators, recovery coaches, plan managers and provider leaders</x:v>
      </x:c>
      <x:c r="E90" s="63" t="str">
        <x:v>Intermediate</x:v>
      </x:c>
      <x:c r="F90" s="63" t="str">
        <x:v>Scenario lab / facilitated workshop</x:v>
      </x:c>
      <x:c r="G90" s="64" t="n">
        <x:v>40</x:v>
      </x:c>
      <x:c r="H90" s="63" t="str">
        <x:v>Case study and applied action plan</x:v>
      </x:c>
      <x:c r="I90" s="63" t="str">
        <x:v>MapAble Academy Certificate of Completion (non-accredited professional development)</x:v>
      </x:c>
      <x:c r="J90" s="63" t="str">
        <x:v>24 months; confirm through provider risk assessment</x:v>
      </x:c>
      <x:c r="K90" s="63" t="str">
        <x:v>No – unless required by employer, support plan or risk assessment</x:v>
      </x:c>
      <x:c r="L90" s="63" t="str">
        <x:v>No</x:v>
      </x:c>
      <x:c r="M90" s="63" t="str">
        <x:v>Required before publication</x:v>
      </x:c>
      <x:c r="N90" s="63" t="str">
        <x:v>Wave 3 – Specialist</x:v>
      </x:c>
      <x:c r="O90" s="63" t="str">
        <x:v>Planned</x:v>
      </x:c>
      <x:c r="P90" s="63" t="str">
        <x:v>NDIS Navigation Practice</x:v>
      </x:c>
      <x:c r="Q90" s="63" t="str">
        <x:v>Support Coordination; Plan Implementation; Conflict of Interest; Service Agreements</x:v>
      </x:c>
      <x:c r="R90" s="63" t="str">
        <x:v>Apply the core principles of plan reassessments, variations and change of circumstances within role scope, participant preferences and organisational escalation pathways.</x:v>
      </x:c>
      <x:c r="S90" s="63" t="str">
        <x:v>https://www.ndiscommission.gov.au/rules-and-standards/ndis-practice-standards</x:v>
      </x:c>
      <x:c r="T90" s="63" t="str">
        <x:v>Course mapping supports evidence and capability development; it does not guarantee provider compliance.</x:v>
      </x:c>
    </x:row>
    <x:row r="91">
      <x:c r="A91" s="62" t="str">
        <x:v>SNP-108</x:v>
      </x:c>
      <x:c r="B91" s="63" t="str">
        <x:v>Support Coordination, Navigation &amp; Plan Management</x:v>
      </x:c>
      <x:c r="C91" s="63" t="str">
        <x:v>Crisis Planning, Continuity and Service Recovery</x:v>
      </x:c>
      <x:c r="D91" s="63" t="str">
        <x:v>Support coordinators, recovery coaches, plan managers and provider leaders</x:v>
      </x:c>
      <x:c r="E91" s="63" t="str">
        <x:v>Advanced</x:v>
      </x:c>
      <x:c r="F91" s="63" t="str">
        <x:v>Scenario lab / facilitated workshop</x:v>
      </x:c>
      <x:c r="G91" s="64" t="n">
        <x:v>50</x:v>
      </x:c>
      <x:c r="H91" s="63" t="str">
        <x:v>Case study and applied action plan</x:v>
      </x:c>
      <x:c r="I91" s="63" t="str">
        <x:v>MapAble Academy Certificate of Completion (non-accredited professional development)</x:v>
      </x:c>
      <x:c r="J91" s="63" t="str">
        <x:v>24 months; confirm through provider risk assessment</x:v>
      </x:c>
      <x:c r="K91" s="63" t="str">
        <x:v>No – unless required by employer, support plan or risk assessment</x:v>
      </x:c>
      <x:c r="L91" s="63" t="str">
        <x:v>No</x:v>
      </x:c>
      <x:c r="M91" s="63" t="str">
        <x:v>Required before publication</x:v>
      </x:c>
      <x:c r="N91" s="63" t="str">
        <x:v>Wave 3 – Specialist</x:v>
      </x:c>
      <x:c r="O91" s="63" t="str">
        <x:v>Planned</x:v>
      </x:c>
      <x:c r="P91" s="63" t="str">
        <x:v>NDIS Navigation Practice</x:v>
      </x:c>
      <x:c r="Q91" s="63" t="str">
        <x:v>Support Coordination; Plan Implementation; Conflict of Interest; Service Agreements</x:v>
      </x:c>
      <x:c r="R91" s="63" t="str">
        <x:v>Apply the core principles of crisis planning, continuity and service recovery within role scope, participant preferences and organisational escalation pathways.</x:v>
      </x:c>
      <x:c r="S91" s="63" t="str">
        <x:v>https://www.ndiscommission.gov.au/rules-and-standards/ndis-practice-standards</x:v>
      </x:c>
      <x:c r="T91" s="63" t="str">
        <x:v>Course mapping supports evidence and capability development; it does not guarantee provider compliance.</x:v>
      </x:c>
    </x:row>
    <x:row r="92">
      <x:c r="A92" s="62" t="str">
        <x:v>SNP-109</x:v>
      </x:c>
      <x:c r="B92" s="63" t="str">
        <x:v>Support Coordination, Navigation &amp; Plan Management</x:v>
      </x:c>
      <x:c r="C92" s="63" t="str">
        <x:v>Collaborative Case Conferences and Multidisciplinary Practice</x:v>
      </x:c>
      <x:c r="D92" s="63" t="str">
        <x:v>Support coordinators, recovery coaches, plan managers and provider leaders</x:v>
      </x:c>
      <x:c r="E92" s="63" t="str">
        <x:v>Advanced</x:v>
      </x:c>
      <x:c r="F92" s="63" t="str">
        <x:v>Scenario lab / facilitated workshop</x:v>
      </x:c>
      <x:c r="G92" s="64" t="n">
        <x:v>20</x:v>
      </x:c>
      <x:c r="H92" s="63" t="str">
        <x:v>Case study and applied action plan</x:v>
      </x:c>
      <x:c r="I92" s="63" t="str">
        <x:v>MapAble Academy Certificate of Completion (non-accredited professional development)</x:v>
      </x:c>
      <x:c r="J92" s="63" t="str">
        <x:v>24 months; confirm through provider risk assessment</x:v>
      </x:c>
      <x:c r="K92" s="63" t="str">
        <x:v>No – unless required by employer, support plan or risk assessment</x:v>
      </x:c>
      <x:c r="L92" s="63" t="str">
        <x:v>No</x:v>
      </x:c>
      <x:c r="M92" s="63" t="str">
        <x:v>Required before publication</x:v>
      </x:c>
      <x:c r="N92" s="63" t="str">
        <x:v>Wave 3 – Specialist</x:v>
      </x:c>
      <x:c r="O92" s="63" t="str">
        <x:v>Planned</x:v>
      </x:c>
      <x:c r="P92" s="63" t="str">
        <x:v>NDIS Navigation Practice</x:v>
      </x:c>
      <x:c r="Q92" s="63" t="str">
        <x:v>Support Coordination; Plan Implementation; Conflict of Interest; Service Agreements</x:v>
      </x:c>
      <x:c r="R92" s="63" t="str">
        <x:v>Apply the core principles of collaborative case conferences and multidisciplinary practice within role scope, participant preferences and organisational escalation pathways.</x:v>
      </x:c>
      <x:c r="S92" s="63" t="str">
        <x:v>https://www.ndiscommission.gov.au/rules-and-standards/ndis-practice-standards</x:v>
      </x:c>
      <x:c r="T92" s="63" t="str">
        <x:v>Course mapping supports evidence and capability development; it does not guarantee provider compliance.</x:v>
      </x:c>
    </x:row>
    <x:row r="93">
      <x:c r="A93" s="62" t="str">
        <x:v>SNP-110</x:v>
      </x:c>
      <x:c r="B93" s="63" t="str">
        <x:v>Support Coordination, Navigation &amp; Plan Management</x:v>
      </x:c>
      <x:c r="C93" s="63" t="str">
        <x:v>Plan Management, Invoice Literacy and Querying Charges</x:v>
      </x:c>
      <x:c r="D93" s="63" t="str">
        <x:v>Support coordinators, recovery coaches, plan managers and provider leaders</x:v>
      </x:c>
      <x:c r="E93" s="63" t="str">
        <x:v>Advanced</x:v>
      </x:c>
      <x:c r="F93" s="63" t="str">
        <x:v>Scenario lab / facilitated workshop</x:v>
      </x:c>
      <x:c r="G93" s="64" t="n">
        <x:v>30</x:v>
      </x:c>
      <x:c r="H93" s="63" t="str">
        <x:v>Case study and applied action plan</x:v>
      </x:c>
      <x:c r="I93" s="63" t="str">
        <x:v>MapAble Academy Certificate of Completion (non-accredited professional development)</x:v>
      </x:c>
      <x:c r="J93" s="63" t="str">
        <x:v>24 months; confirm through provider risk assessment</x:v>
      </x:c>
      <x:c r="K93" s="63" t="str">
        <x:v>No – unless required by employer, support plan or risk assessment</x:v>
      </x:c>
      <x:c r="L93" s="63" t="str">
        <x:v>No</x:v>
      </x:c>
      <x:c r="M93" s="63" t="str">
        <x:v>Required before publication</x:v>
      </x:c>
      <x:c r="N93" s="63" t="str">
        <x:v>Wave 3 – Specialist</x:v>
      </x:c>
      <x:c r="O93" s="63" t="str">
        <x:v>Planned</x:v>
      </x:c>
      <x:c r="P93" s="63" t="str">
        <x:v>NDIS Navigation Practice</x:v>
      </x:c>
      <x:c r="Q93" s="63" t="str">
        <x:v>Support Coordination; Plan Implementation; Conflict of Interest; Service Agreements</x:v>
      </x:c>
      <x:c r="R93" s="63" t="str">
        <x:v>Apply the core principles of plan management, invoice literacy and querying charges within role scope, participant preferences and organisational escalation pathways.</x:v>
      </x:c>
      <x:c r="S93" s="63" t="str">
        <x:v>https://www.ndiscommission.gov.au/rules-and-standards/ndis-practice-standards</x:v>
      </x:c>
      <x:c r="T93" s="63" t="str">
        <x:v>Course mapping supports evidence and capability development; it does not guarantee provider compliance.</x:v>
      </x:c>
    </x:row>
    <x:row r="94">
      <x:c r="A94" s="62" t="str">
        <x:v>PGQ-101</x:v>
      </x:c>
      <x:c r="B94" s="63" t="str">
        <x:v>Provider Governance, Quality &amp; Compliance</x:v>
      </x:c>
      <x:c r="C94" s="63" t="str">
        <x:v>NDIS Governance for Boards and Executives</x:v>
      </x:c>
      <x:c r="D94" s="63" t="str">
        <x:v>Boards, executives, compliance leads, quality managers and provider owners</x:v>
      </x:c>
      <x:c r="E94" s="63" t="str">
        <x:v>Foundation</x:v>
      </x:c>
      <x:c r="F94" s="63" t="str">
        <x:v>Microlearning + knowledge check</x:v>
      </x:c>
      <x:c r="G94" s="64" t="n">
        <x:v>20</x:v>
      </x:c>
      <x:c r="H94" s="63" t="str">
        <x:v>Knowledge quiz and scenario check</x:v>
      </x:c>
      <x:c r="I94" s="63" t="str">
        <x:v>MapAble Academy Certificate of Completion (non-accredited professional development)</x:v>
      </x:c>
      <x:c r="J94" s="63" t="str">
        <x:v>24 months; confirm through provider risk assessment</x:v>
      </x:c>
      <x:c r="K94" s="63" t="str">
        <x:v>No – unless required by employer, support plan or risk assessment</x:v>
      </x:c>
      <x:c r="L94" s="63" t="str">
        <x:v>No</x:v>
      </x:c>
      <x:c r="M94" s="63" t="str">
        <x:v>Required before publication</x:v>
      </x:c>
      <x:c r="N94" s="63" t="str">
        <x:v>Wave 1 – Launch</x:v>
      </x:c>
      <x:c r="O94" s="63" t="str">
        <x:v>Planned</x:v>
      </x:c>
      <x:c r="P94" s="63" t="str">
        <x:v>Provider Quality Leadership</x:v>
      </x:c>
      <x:c r="Q94" s="63" t="str">
        <x:v>Provider Governance; Practice Standards; Quality Management; Audit Evidence</x:v>
      </x:c>
      <x:c r="R94" s="63" t="str">
        <x:v>Apply the core principles of ndis governance for boards and executives within role scope, participant preferences and organisational escalation pathways.</x:v>
      </x:c>
      <x:c r="S94" s="63" t="str">
        <x:v>https://www.ndiscommission.gov.au/rules-and-standards/ndis-practice-standards</x:v>
      </x:c>
      <x:c r="T94" s="63" t="str">
        <x:v>Course mapping supports evidence and capability development; it does not guarantee provider compliance.</x:v>
      </x:c>
    </x:row>
    <x:row r="95">
      <x:c r="A95" s="62" t="str">
        <x:v>PGQ-102</x:v>
      </x:c>
      <x:c r="B95" s="63" t="str">
        <x:v>Provider Governance, Quality &amp; Compliance</x:v>
      </x:c>
      <x:c r="C95" s="63" t="str">
        <x:v>Understanding the NDIS Practice Standards and Quality Indicators</x:v>
      </x:c>
      <x:c r="D95" s="63" t="str">
        <x:v>Boards, executives, compliance leads, quality managers and provider owners</x:v>
      </x:c>
      <x:c r="E95" s="63" t="str">
        <x:v>Foundation</x:v>
      </x:c>
      <x:c r="F95" s="63" t="str">
        <x:v>Self-paced eLearning</x:v>
      </x:c>
      <x:c r="G95" s="64" t="n">
        <x:v>30</x:v>
      </x:c>
      <x:c r="H95" s="63" t="str">
        <x:v>Knowledge quiz and scenario check</x:v>
      </x:c>
      <x:c r="I95" s="63" t="str">
        <x:v>MapAble Academy Certificate of Completion (non-accredited professional development)</x:v>
      </x:c>
      <x:c r="J95" s="63" t="str">
        <x:v>24 months; confirm through provider risk assessment</x:v>
      </x:c>
      <x:c r="K95" s="63" t="str">
        <x:v>No – unless required by employer, support plan or risk assessment</x:v>
      </x:c>
      <x:c r="L95" s="63" t="str">
        <x:v>No</x:v>
      </x:c>
      <x:c r="M95" s="63" t="str">
        <x:v>Required before publication</x:v>
      </x:c>
      <x:c r="N95" s="63" t="str">
        <x:v>Wave 1 – Launch</x:v>
      </x:c>
      <x:c r="O95" s="63" t="str">
        <x:v>Planned</x:v>
      </x:c>
      <x:c r="P95" s="63" t="str">
        <x:v>Provider Quality Leadership</x:v>
      </x:c>
      <x:c r="Q95" s="63" t="str">
        <x:v>Provider Governance; Practice Standards; Quality Management; Audit Evidence</x:v>
      </x:c>
      <x:c r="R95" s="63" t="str">
        <x:v>Apply the core principles of understanding the ndis practice standards and quality indicators within role scope, participant preferences and organisational escalation pathways.</x:v>
      </x:c>
      <x:c r="S95" s="63" t="str">
        <x:v>https://www.ndiscommission.gov.au/rules-and-standards/ndis-practice-standards</x:v>
      </x:c>
      <x:c r="T95" s="63" t="str">
        <x:v>Course mapping supports evidence and capability development; it does not guarantee provider compliance.</x:v>
      </x:c>
    </x:row>
    <x:row r="96">
      <x:c r="A96" s="62" t="str">
        <x:v>PGQ-103</x:v>
      </x:c>
      <x:c r="B96" s="63" t="str">
        <x:v>Provider Governance, Quality &amp; Compliance</x:v>
      </x:c>
      <x:c r="C96" s="63" t="str">
        <x:v>Building a Participant-Led Quality Management System</x:v>
      </x:c>
      <x:c r="D96" s="63" t="str">
        <x:v>Boards, executives, compliance leads, quality managers and provider owners</x:v>
      </x:c>
      <x:c r="E96" s="63" t="str">
        <x:v>Foundation</x:v>
      </x:c>
      <x:c r="F96" s="63" t="str">
        <x:v>Self-paced eLearning</x:v>
      </x:c>
      <x:c r="G96" s="64" t="n">
        <x:v>40</x:v>
      </x:c>
      <x:c r="H96" s="63" t="str">
        <x:v>Knowledge quiz and scenario check</x:v>
      </x:c>
      <x:c r="I96" s="63" t="str">
        <x:v>MapAble Academy Certificate of Completion (non-accredited professional development)</x:v>
      </x:c>
      <x:c r="J96" s="63" t="str">
        <x:v>24 months; confirm through provider risk assessment</x:v>
      </x:c>
      <x:c r="K96" s="63" t="str">
        <x:v>No – unless required by employer, support plan or risk assessment</x:v>
      </x:c>
      <x:c r="L96" s="63" t="str">
        <x:v>No</x:v>
      </x:c>
      <x:c r="M96" s="63" t="str">
        <x:v>Required before publication</x:v>
      </x:c>
      <x:c r="N96" s="63" t="str">
        <x:v>Wave 2 – Expansion</x:v>
      </x:c>
      <x:c r="O96" s="63" t="str">
        <x:v>Planned</x:v>
      </x:c>
      <x:c r="P96" s="63" t="str">
        <x:v>Provider Quality Leadership</x:v>
      </x:c>
      <x:c r="Q96" s="63" t="str">
        <x:v>Provider Governance; Practice Standards; Quality Management; Audit Evidence</x:v>
      </x:c>
      <x:c r="R96" s="63" t="str">
        <x:v>Apply the core principles of building a participant-led quality management system within role scope, participant preferences and organisational escalation pathways.</x:v>
      </x:c>
      <x:c r="S96" s="63" t="str">
        <x:v>https://www.ndiscommission.gov.au/rules-and-standards/ndis-practice-standards</x:v>
      </x:c>
      <x:c r="T96" s="63" t="str">
        <x:v>Course mapping supports evidence and capability development; it does not guarantee provider compliance.</x:v>
      </x:c>
    </x:row>
    <x:row r="97">
      <x:c r="A97" s="62" t="str">
        <x:v>PGQ-104</x:v>
      </x:c>
      <x:c r="B97" s="63" t="str">
        <x:v>Provider Governance, Quality &amp; Compliance</x:v>
      </x:c>
      <x:c r="C97" s="63" t="str">
        <x:v>Enterprise Risk Management for Disability Providers</x:v>
      </x:c>
      <x:c r="D97" s="63" t="str">
        <x:v>Boards, executives, compliance leads, quality managers and provider owners</x:v>
      </x:c>
      <x:c r="E97" s="63" t="str">
        <x:v>Intermediate</x:v>
      </x:c>
      <x:c r="F97" s="63" t="str">
        <x:v>Scenario-based eLearning</x:v>
      </x:c>
      <x:c r="G97" s="64" t="n">
        <x:v>50</x:v>
      </x:c>
      <x:c r="H97" s="63" t="str">
        <x:v>Knowledge quiz and scenario check</x:v>
      </x:c>
      <x:c r="I97" s="63" t="str">
        <x:v>MapAble Academy Certificate of Completion (non-accredited professional development)</x:v>
      </x:c>
      <x:c r="J97" s="63" t="str">
        <x:v>24 months; confirm through provider risk assessment</x:v>
      </x:c>
      <x:c r="K97" s="63" t="str">
        <x:v>No – unless required by employer, support plan or risk assessment</x:v>
      </x:c>
      <x:c r="L97" s="63" t="str">
        <x:v>No</x:v>
      </x:c>
      <x:c r="M97" s="63" t="str">
        <x:v>Required before publication</x:v>
      </x:c>
      <x:c r="N97" s="63" t="str">
        <x:v>Wave 2 – Expansion</x:v>
      </x:c>
      <x:c r="O97" s="63" t="str">
        <x:v>Planned</x:v>
      </x:c>
      <x:c r="P97" s="63" t="str">
        <x:v>Provider Quality Leadership</x:v>
      </x:c>
      <x:c r="Q97" s="63" t="str">
        <x:v>Provider Governance; Practice Standards; Quality Management; Audit Evidence</x:v>
      </x:c>
      <x:c r="R97" s="63" t="str">
        <x:v>Apply the core principles of enterprise risk management for disability providers within role scope, participant preferences and organisational escalation pathways.</x:v>
      </x:c>
      <x:c r="S97" s="63" t="str">
        <x:v>https://www.ndiscommission.gov.au/rules-and-standards/ndis-practice-standards</x:v>
      </x:c>
      <x:c r="T97" s="63" t="str">
        <x:v>Course mapping supports evidence and capability development; it does not guarantee provider compliance.</x:v>
      </x:c>
    </x:row>
    <x:row r="98">
      <x:c r="A98" s="62" t="str">
        <x:v>PGQ-105</x:v>
      </x:c>
      <x:c r="B98" s="63" t="str">
        <x:v>Provider Governance, Quality &amp; Compliance</x:v>
      </x:c>
      <x:c r="C98" s="63" t="str">
        <x:v>Incident Management and Reportable Incidents</x:v>
      </x:c>
      <x:c r="D98" s="63" t="str">
        <x:v>Boards, executives, compliance leads, quality managers and provider owners</x:v>
      </x:c>
      <x:c r="E98" s="63" t="str">
        <x:v>Intermediate</x:v>
      </x:c>
      <x:c r="F98" s="63" t="str">
        <x:v>Microlearning + knowledge check</x:v>
      </x:c>
      <x:c r="G98" s="64" t="n">
        <x:v>20</x:v>
      </x:c>
      <x:c r="H98" s="63" t="str">
        <x:v>Knowledge quiz and scenario check</x:v>
      </x:c>
      <x:c r="I98" s="63" t="str">
        <x:v>MapAble Academy Certificate of Completion (non-accredited professional development)</x:v>
      </x:c>
      <x:c r="J98" s="63" t="str">
        <x:v>24 months; confirm through provider risk assessment</x:v>
      </x:c>
      <x:c r="K98" s="63" t="str">
        <x:v>No – unless required by employer, support plan or risk assessment</x:v>
      </x:c>
      <x:c r="L98" s="63" t="str">
        <x:v>No</x:v>
      </x:c>
      <x:c r="M98" s="63" t="str">
        <x:v>Required before publication</x:v>
      </x:c>
      <x:c r="N98" s="63" t="str">
        <x:v>Wave 1 – Launch</x:v>
      </x:c>
      <x:c r="O98" s="63" t="str">
        <x:v>Planned</x:v>
      </x:c>
      <x:c r="P98" s="63" t="str">
        <x:v>Provider Quality Leadership</x:v>
      </x:c>
      <x:c r="Q98" s="63" t="str">
        <x:v>Provider Governance; Practice Standards; Quality Management; Audit Evidence</x:v>
      </x:c>
      <x:c r="R98" s="63" t="str">
        <x:v>Apply the core principles of incident management and reportable incidents within role scope, participant preferences and organisational escalation pathways.</x:v>
      </x:c>
      <x:c r="S98" s="63" t="str">
        <x:v>https://www.ndiscommission.gov.au/rules-and-standards/ndis-practice-standards</x:v>
      </x:c>
      <x:c r="T98" s="63" t="str">
        <x:v>Course mapping supports evidence and capability development; it does not guarantee provider compliance.</x:v>
      </x:c>
    </x:row>
    <x:row r="99">
      <x:c r="A99" s="62" t="str">
        <x:v>PGQ-106</x:v>
      </x:c>
      <x:c r="B99" s="63" t="str">
        <x:v>Provider Governance, Quality &amp; Compliance</x:v>
      </x:c>
      <x:c r="C99" s="63" t="str">
        <x:v>Complaints Management and Accessible Resolution</x:v>
      </x:c>
      <x:c r="D99" s="63" t="str">
        <x:v>Boards, executives, compliance leads, quality managers and provider owners</x:v>
      </x:c>
      <x:c r="E99" s="63" t="str">
        <x:v>Intermediate</x:v>
      </x:c>
      <x:c r="F99" s="63" t="str">
        <x:v>Self-paced eLearning</x:v>
      </x:c>
      <x:c r="G99" s="64" t="n">
        <x:v>30</x:v>
      </x:c>
      <x:c r="H99" s="63" t="str">
        <x:v>Case study and applied action plan</x:v>
      </x:c>
      <x:c r="I99" s="63" t="str">
        <x:v>MapAble Academy Certificate of Completion (non-accredited professional development)</x:v>
      </x:c>
      <x:c r="J99" s="63" t="str">
        <x:v>24 months; confirm through provider risk assessment</x:v>
      </x:c>
      <x:c r="K99" s="63" t="str">
        <x:v>No – unless required by employer, support plan or risk assessment</x:v>
      </x:c>
      <x:c r="L99" s="63" t="str">
        <x:v>No</x:v>
      </x:c>
      <x:c r="M99" s="63" t="str">
        <x:v>Required before publication</x:v>
      </x:c>
      <x:c r="N99" s="63" t="str">
        <x:v>Wave 1 – Launch</x:v>
      </x:c>
      <x:c r="O99" s="63" t="str">
        <x:v>Planned</x:v>
      </x:c>
      <x:c r="P99" s="63" t="str">
        <x:v>Provider Quality Leadership</x:v>
      </x:c>
      <x:c r="Q99" s="63" t="str">
        <x:v>Provider Governance; Practice Standards; Quality Management; Audit Evidence</x:v>
      </x:c>
      <x:c r="R99" s="63" t="str">
        <x:v>Apply the core principles of complaints management and accessible resolution within role scope, participant preferences and organisational escalation pathways.</x:v>
      </x:c>
      <x:c r="S99" s="63" t="str">
        <x:v>https://www.ndiscommission.gov.au/rules-and-standards/ndis-practice-standards</x:v>
      </x:c>
      <x:c r="T99" s="63" t="str">
        <x:v>Course mapping supports evidence and capability development; it does not guarantee provider compliance.</x:v>
      </x:c>
    </x:row>
    <x:row r="100">
      <x:c r="A100" s="62" t="str">
        <x:v>PGQ-107</x:v>
      </x:c>
      <x:c r="B100" s="63" t="str">
        <x:v>Provider Governance, Quality &amp; Compliance</x:v>
      </x:c>
      <x:c r="C100" s="63" t="str">
        <x:v>Emergency and Disaster Management</x:v>
      </x:c>
      <x:c r="D100" s="63" t="str">
        <x:v>Boards, executives, compliance leads, quality managers and provider owners</x:v>
      </x:c>
      <x:c r="E100" s="63" t="str">
        <x:v>Intermediate</x:v>
      </x:c>
      <x:c r="F100" s="63" t="str">
        <x:v>Scenario lab / facilitated workshop</x:v>
      </x:c>
      <x:c r="G100" s="64" t="n">
        <x:v>40</x:v>
      </x:c>
      <x:c r="H100" s="63" t="str">
        <x:v>Case study and applied action plan</x:v>
      </x:c>
      <x:c r="I100" s="63" t="str">
        <x:v>MapAble Academy Certificate of Completion (non-accredited professional development)</x:v>
      </x:c>
      <x:c r="J100" s="63" t="str">
        <x:v>24 months; confirm through provider risk assessment</x:v>
      </x:c>
      <x:c r="K100" s="63" t="str">
        <x:v>No – unless required by employer, support plan or risk assessment</x:v>
      </x:c>
      <x:c r="L100" s="63" t="str">
        <x:v>No</x:v>
      </x:c>
      <x:c r="M100" s="63" t="str">
        <x:v>Required before publication</x:v>
      </x:c>
      <x:c r="N100" s="63" t="str">
        <x:v>Wave 2 – Expansion</x:v>
      </x:c>
      <x:c r="O100" s="63" t="str">
        <x:v>Planned</x:v>
      </x:c>
      <x:c r="P100" s="63" t="str">
        <x:v>Provider Quality Leadership</x:v>
      </x:c>
      <x:c r="Q100" s="63" t="str">
        <x:v>Provider Governance; Practice Standards; Quality Management; Audit Evidence</x:v>
      </x:c>
      <x:c r="R100" s="63" t="str">
        <x:v>Apply the core principles of emergency and disaster management within role scope, participant preferences and organisational escalation pathways.</x:v>
      </x:c>
      <x:c r="S100" s="63" t="str">
        <x:v>https://www.ndiscommission.gov.au/rules-and-standards/ndis-practice-standards</x:v>
      </x:c>
      <x:c r="T100" s="63" t="str">
        <x:v>Course mapping supports evidence and capability development; it does not guarantee provider compliance.</x:v>
      </x:c>
    </x:row>
    <x:row r="101">
      <x:c r="A101" s="62" t="str">
        <x:v>PGQ-108</x:v>
      </x:c>
      <x:c r="B101" s="63" t="str">
        <x:v>Provider Governance, Quality &amp; Compliance</x:v>
      </x:c>
      <x:c r="C101" s="63" t="str">
        <x:v>Human Resources, Worker Files and Training Evidence</x:v>
      </x:c>
      <x:c r="D101" s="63" t="str">
        <x:v>Boards, executives, compliance leads, quality managers and provider owners</x:v>
      </x:c>
      <x:c r="E101" s="63" t="str">
        <x:v>Advanced</x:v>
      </x:c>
      <x:c r="F101" s="63" t="str">
        <x:v>Scenario lab / facilitated workshop</x:v>
      </x:c>
      <x:c r="G101" s="64" t="n">
        <x:v>50</x:v>
      </x:c>
      <x:c r="H101" s="63" t="str">
        <x:v>Case study and applied action plan</x:v>
      </x:c>
      <x:c r="I101" s="63" t="str">
        <x:v>MapAble Academy Certificate of Completion (non-accredited professional development)</x:v>
      </x:c>
      <x:c r="J101" s="63" t="str">
        <x:v>24 months; confirm through provider risk assessment</x:v>
      </x:c>
      <x:c r="K101" s="63" t="str">
        <x:v>No – unless required by employer, support plan or risk assessment</x:v>
      </x:c>
      <x:c r="L101" s="63" t="str">
        <x:v>No</x:v>
      </x:c>
      <x:c r="M101" s="63" t="str">
        <x:v>Required before publication</x:v>
      </x:c>
      <x:c r="N101" s="63" t="str">
        <x:v>Wave 2 – Expansion</x:v>
      </x:c>
      <x:c r="O101" s="63" t="str">
        <x:v>Planned</x:v>
      </x:c>
      <x:c r="P101" s="63" t="str">
        <x:v>Provider Quality Leadership</x:v>
      </x:c>
      <x:c r="Q101" s="63" t="str">
        <x:v>Provider Governance; Practice Standards; Quality Management; Audit Evidence</x:v>
      </x:c>
      <x:c r="R101" s="63" t="str">
        <x:v>Apply the core principles of human resources, worker files and training evidence within role scope, participant preferences and organisational escalation pathways.</x:v>
      </x:c>
      <x:c r="S101" s="63" t="str">
        <x:v>https://www.ndiscommission.gov.au/rules-and-standards/ndis-practice-standards</x:v>
      </x:c>
      <x:c r="T101" s="63" t="str">
        <x:v>Course mapping supports evidence and capability development; it does not guarantee provider compliance.</x:v>
      </x:c>
    </x:row>
    <x:row r="102">
      <x:c r="A102" s="62" t="str">
        <x:v>PGQ-109</x:v>
      </x:c>
      <x:c r="B102" s="63" t="str">
        <x:v>Provider Governance, Quality &amp; Compliance</x:v>
      </x:c>
      <x:c r="C102" s="63" t="str">
        <x:v>Audit Readiness, Evidence Mapping and Corrective Actions</x:v>
      </x:c>
      <x:c r="D102" s="63" t="str">
        <x:v>Boards, executives, compliance leads, quality managers and provider owners</x:v>
      </x:c>
      <x:c r="E102" s="63" t="str">
        <x:v>Advanced</x:v>
      </x:c>
      <x:c r="F102" s="63" t="str">
        <x:v>Scenario lab / facilitated workshop</x:v>
      </x:c>
      <x:c r="G102" s="64" t="n">
        <x:v>20</x:v>
      </x:c>
      <x:c r="H102" s="63" t="str">
        <x:v>Case study and applied action plan</x:v>
      </x:c>
      <x:c r="I102" s="63" t="str">
        <x:v>MapAble Academy Certificate of Completion (non-accredited professional development)</x:v>
      </x:c>
      <x:c r="J102" s="63" t="str">
        <x:v>24 months; confirm through provider risk assessment</x:v>
      </x:c>
      <x:c r="K102" s="63" t="str">
        <x:v>No – unless required by employer, support plan or risk assessment</x:v>
      </x:c>
      <x:c r="L102" s="63" t="str">
        <x:v>No</x:v>
      </x:c>
      <x:c r="M102" s="63" t="str">
        <x:v>Required before publication</x:v>
      </x:c>
      <x:c r="N102" s="63" t="str">
        <x:v>Wave 2 – Expansion</x:v>
      </x:c>
      <x:c r="O102" s="63" t="str">
        <x:v>Planned</x:v>
      </x:c>
      <x:c r="P102" s="63" t="str">
        <x:v>Provider Quality Leadership</x:v>
      </x:c>
      <x:c r="Q102" s="63" t="str">
        <x:v>Provider Governance; Practice Standards; Quality Management; Audit Evidence</x:v>
      </x:c>
      <x:c r="R102" s="63" t="str">
        <x:v>Apply the core principles of audit readiness, evidence mapping and corrective actions within role scope, participant preferences and organisational escalation pathways.</x:v>
      </x:c>
      <x:c r="S102" s="63" t="str">
        <x:v>https://www.ndiscommission.gov.au/rules-and-standards/ndis-practice-standards</x:v>
      </x:c>
      <x:c r="T102" s="63" t="str">
        <x:v>Course mapping supports evidence and capability development; it does not guarantee provider compliance.</x:v>
      </x:c>
    </x:row>
    <x:row r="103">
      <x:c r="A103" s="62" t="str">
        <x:v>PGQ-110</x:v>
      </x:c>
      <x:c r="B103" s="63" t="str">
        <x:v>Provider Governance, Quality &amp; Compliance</x:v>
      </x:c>
      <x:c r="C103" s="63" t="str">
        <x:v>Provider Registration, SIL and NDIS Digital Platform Obligations</x:v>
      </x:c>
      <x:c r="D103" s="63" t="str">
        <x:v>Boards, executives, compliance leads, quality managers and provider owners</x:v>
      </x:c>
      <x:c r="E103" s="63" t="str">
        <x:v>Advanced</x:v>
      </x:c>
      <x:c r="F103" s="63" t="str">
        <x:v>Scenario lab / facilitated workshop</x:v>
      </x:c>
      <x:c r="G103" s="64" t="n">
        <x:v>30</x:v>
      </x:c>
      <x:c r="H103" s="63" t="str">
        <x:v>Case study and applied action plan</x:v>
      </x:c>
      <x:c r="I103" s="63" t="str">
        <x:v>MapAble Academy Certificate of Completion (non-accredited professional development)</x:v>
      </x:c>
      <x:c r="J103" s="63" t="str">
        <x:v>24 months; confirm through provider risk assessment</x:v>
      </x:c>
      <x:c r="K103" s="63" t="str">
        <x:v>No – unless required by employer, support plan or risk assessment</x:v>
      </x:c>
      <x:c r="L103" s="63" t="str">
        <x:v>No</x:v>
      </x:c>
      <x:c r="M103" s="63" t="str">
        <x:v>Required before publication</x:v>
      </x:c>
      <x:c r="N103" s="63" t="str">
        <x:v>Wave 3 – Specialist</x:v>
      </x:c>
      <x:c r="O103" s="63" t="str">
        <x:v>Planned</x:v>
      </x:c>
      <x:c r="P103" s="63" t="str">
        <x:v>Provider Quality Leadership</x:v>
      </x:c>
      <x:c r="Q103" s="63" t="str">
        <x:v>Provider Governance; Practice Standards; Quality Management; Audit Evidence</x:v>
      </x:c>
      <x:c r="R103" s="63" t="str">
        <x:v>Apply the core principles of provider registration, sil and ndis digital platform obligations within role scope, participant preferences and organisational escalation pathways.</x:v>
      </x:c>
      <x:c r="S103" s="63" t="str">
        <x:v>https://www.ndiscommission.gov.au/rules-and-standards/ndis-practice-standards</x:v>
      </x:c>
      <x:c r="T103" s="63" t="str">
        <x:v>Course mapping supports evidence and capability development; it does not guarantee provider compliance.</x:v>
      </x:c>
    </x:row>
    <x:row r="104">
      <x:c r="A104" s="62" t="str">
        <x:v>WLO-101</x:v>
      </x:c>
      <x:c r="B104" s="63" t="str">
        <x:v>Workforce Leadership &amp; Provider Operations</x:v>
      </x:c>
      <x:c r="C104" s="63" t="str">
        <x:v>Frontline Leadership in Disability Support</x:v>
      </x:c>
      <x:c r="D104" s="63" t="str">
        <x:v>Frontline leaders, rostering teams, HR staff, provider managers and owners</x:v>
      </x:c>
      <x:c r="E104" s="63" t="str">
        <x:v>Foundation</x:v>
      </x:c>
      <x:c r="F104" s="63" t="str">
        <x:v>Microlearning + knowledge check</x:v>
      </x:c>
      <x:c r="G104" s="64" t="n">
        <x:v>20</x:v>
      </x:c>
      <x:c r="H104" s="63" t="str">
        <x:v>Knowledge quiz and scenario check</x:v>
      </x:c>
      <x:c r="I104" s="63" t="str">
        <x:v>MapAble Academy Certificate of Completion (non-accredited professional development)</x:v>
      </x:c>
      <x:c r="J104" s="63" t="str">
        <x:v>24 months; confirm through provider risk assessment</x:v>
      </x:c>
      <x:c r="K104" s="63" t="str">
        <x:v>No – unless required by employer, support plan or risk assessment</x:v>
      </x:c>
      <x:c r="L104" s="63" t="str">
        <x:v>No</x:v>
      </x:c>
      <x:c r="M104" s="63" t="str">
        <x:v>Required before publication</x:v>
      </x:c>
      <x:c r="N104" s="63" t="str">
        <x:v>Wave 2 – Expansion</x:v>
      </x:c>
      <x:c r="O104" s="63" t="str">
        <x:v>Planned</x:v>
      </x:c>
      <x:c r="P104" s="63" t="str">
        <x:v>Disability Workforce Leadership</x:v>
      </x:c>
      <x:c r="Q104" s="63" t="str">
        <x:v>Human Resource Management; Workforce Capability; Continuity of Supports</x:v>
      </x:c>
      <x:c r="R104" s="63" t="str">
        <x:v>Apply the core principles of frontline leadership in disability support within role scope, participant preferences and organisational escalation pathways.</x:v>
      </x:c>
      <x:c r="S104" s="63" t="str">
        <x:v>https://www.ndiscommission.gov.au/workforce/training-workers/guide-for-ndis-providers/training-your-workers</x:v>
      </x:c>
      <x:c r="T104" s="63" t="str">
        <x:v>Course mapping supports evidence and capability development; it does not guarantee provider compliance.</x:v>
      </x:c>
    </x:row>
    <x:row r="105">
      <x:c r="A105" s="62" t="str">
        <x:v>WLO-102</x:v>
      </x:c>
      <x:c r="B105" s="63" t="str">
        <x:v>Workforce Leadership &amp; Provider Operations</x:v>
      </x:c>
      <x:c r="C105" s="63" t="str">
        <x:v>Supervision, Coaching and Practice Observation</x:v>
      </x:c>
      <x:c r="D105" s="63" t="str">
        <x:v>Frontline leaders, rostering teams, HR staff, provider managers and owners</x:v>
      </x:c>
      <x:c r="E105" s="63" t="str">
        <x:v>Foundation</x:v>
      </x:c>
      <x:c r="F105" s="63" t="str">
        <x:v>Self-paced eLearning</x:v>
      </x:c>
      <x:c r="G105" s="64" t="n">
        <x:v>30</x:v>
      </x:c>
      <x:c r="H105" s="63" t="str">
        <x:v>Knowledge quiz and scenario check</x:v>
      </x:c>
      <x:c r="I105" s="63" t="str">
        <x:v>MapAble Academy Certificate of Completion (non-accredited professional development)</x:v>
      </x:c>
      <x:c r="J105" s="63" t="str">
        <x:v>24 months; confirm through provider risk assessment</x:v>
      </x:c>
      <x:c r="K105" s="63" t="str">
        <x:v>No – unless required by employer, support plan or risk assessment</x:v>
      </x:c>
      <x:c r="L105" s="63" t="str">
        <x:v>No</x:v>
      </x:c>
      <x:c r="M105" s="63" t="str">
        <x:v>Required before publication</x:v>
      </x:c>
      <x:c r="N105" s="63" t="str">
        <x:v>Wave 2 – Expansion</x:v>
      </x:c>
      <x:c r="O105" s="63" t="str">
        <x:v>Planned</x:v>
      </x:c>
      <x:c r="P105" s="63" t="str">
        <x:v>Disability Workforce Leadership</x:v>
      </x:c>
      <x:c r="Q105" s="63" t="str">
        <x:v>Human Resource Management; Workforce Capability; Continuity of Supports</x:v>
      </x:c>
      <x:c r="R105" s="63" t="str">
        <x:v>Apply the core principles of supervision, coaching and practice observation within role scope, participant preferences and organisational escalation pathways.</x:v>
      </x:c>
      <x:c r="S105" s="63" t="str">
        <x:v>https://www.ndiscommission.gov.au/workforce/training-workers/guide-for-ndis-providers/training-your-workers</x:v>
      </x:c>
      <x:c r="T105" s="63" t="str">
        <x:v>Course mapping supports evidence and capability development; it does not guarantee provider compliance.</x:v>
      </x:c>
    </x:row>
    <x:row r="106">
      <x:c r="A106" s="62" t="str">
        <x:v>WLO-103</x:v>
      </x:c>
      <x:c r="B106" s="63" t="str">
        <x:v>Workforce Leadership &amp; Provider Operations</x:v>
      </x:c>
      <x:c r="C106" s="63" t="str">
        <x:v>Values-Based Recruitment and Accessible Selection</x:v>
      </x:c>
      <x:c r="D106" s="63" t="str">
        <x:v>Frontline leaders, rostering teams, HR staff, provider managers and owners</x:v>
      </x:c>
      <x:c r="E106" s="63" t="str">
        <x:v>Foundation</x:v>
      </x:c>
      <x:c r="F106" s="63" t="str">
        <x:v>Self-paced eLearning</x:v>
      </x:c>
      <x:c r="G106" s="64" t="n">
        <x:v>40</x:v>
      </x:c>
      <x:c r="H106" s="63" t="str">
        <x:v>Knowledge quiz and scenario check</x:v>
      </x:c>
      <x:c r="I106" s="63" t="str">
        <x:v>MapAble Academy Certificate of Completion (non-accredited professional development)</x:v>
      </x:c>
      <x:c r="J106" s="63" t="str">
        <x:v>24 months; confirm through provider risk assessment</x:v>
      </x:c>
      <x:c r="K106" s="63" t="str">
        <x:v>No – unless required by employer, support plan or risk assessment</x:v>
      </x:c>
      <x:c r="L106" s="63" t="str">
        <x:v>No</x:v>
      </x:c>
      <x:c r="M106" s="63" t="str">
        <x:v>Required before publication</x:v>
      </x:c>
      <x:c r="N106" s="63" t="str">
        <x:v>Wave 2 – Expansion</x:v>
      </x:c>
      <x:c r="O106" s="63" t="str">
        <x:v>Planned</x:v>
      </x:c>
      <x:c r="P106" s="63" t="str">
        <x:v>Disability Workforce Leadership</x:v>
      </x:c>
      <x:c r="Q106" s="63" t="str">
        <x:v>Human Resource Management; Workforce Capability; Continuity of Supports</x:v>
      </x:c>
      <x:c r="R106" s="63" t="str">
        <x:v>Apply the core principles of values-based recruitment and accessible selection within role scope, participant preferences and organisational escalation pathways.</x:v>
      </x:c>
      <x:c r="S106" s="63" t="str">
        <x:v>https://www.ndiscommission.gov.au/workforce/training-workers/guide-for-ndis-providers/training-your-workers</x:v>
      </x:c>
      <x:c r="T106" s="63" t="str">
        <x:v>Course mapping supports evidence and capability development; it does not guarantee provider compliance.</x:v>
      </x:c>
    </x:row>
    <x:row r="107">
      <x:c r="A107" s="62" t="str">
        <x:v>WLO-104</x:v>
      </x:c>
      <x:c r="B107" s="63" t="str">
        <x:v>Workforce Leadership &amp; Provider Operations</x:v>
      </x:c>
      <x:c r="C107" s="63" t="str">
        <x:v>Worker Induction and Role-Based Learning Pathways</x:v>
      </x:c>
      <x:c r="D107" s="63" t="str">
        <x:v>Frontline leaders, rostering teams, HR staff, provider managers and owners</x:v>
      </x:c>
      <x:c r="E107" s="63" t="str">
        <x:v>Intermediate</x:v>
      </x:c>
      <x:c r="F107" s="63" t="str">
        <x:v>Scenario-based eLearning</x:v>
      </x:c>
      <x:c r="G107" s="64" t="n">
        <x:v>50</x:v>
      </x:c>
      <x:c r="H107" s="63" t="str">
        <x:v>Knowledge quiz and scenario check</x:v>
      </x:c>
      <x:c r="I107" s="63" t="str">
        <x:v>MapAble Academy Certificate of Completion (non-accredited professional development)</x:v>
      </x:c>
      <x:c r="J107" s="63" t="str">
        <x:v>24 months; confirm through provider risk assessment</x:v>
      </x:c>
      <x:c r="K107" s="63" t="str">
        <x:v>No – unless required by employer, support plan or risk assessment</x:v>
      </x:c>
      <x:c r="L107" s="63" t="str">
        <x:v>No</x:v>
      </x:c>
      <x:c r="M107" s="63" t="str">
        <x:v>Required before publication</x:v>
      </x:c>
      <x:c r="N107" s="63" t="str">
        <x:v>Wave 2 – Expansion</x:v>
      </x:c>
      <x:c r="O107" s="63" t="str">
        <x:v>Planned</x:v>
      </x:c>
      <x:c r="P107" s="63" t="str">
        <x:v>Disability Workforce Leadership</x:v>
      </x:c>
      <x:c r="Q107" s="63" t="str">
        <x:v>Human Resource Management; Workforce Capability; Continuity of Supports</x:v>
      </x:c>
      <x:c r="R107" s="63" t="str">
        <x:v>Apply the core principles of worker induction and role-based learning pathways within role scope, participant preferences and organisational escalation pathways.</x:v>
      </x:c>
      <x:c r="S107" s="63" t="str">
        <x:v>https://www.ndiscommission.gov.au/workforce/training-workers/guide-for-ndis-providers/training-your-workers</x:v>
      </x:c>
      <x:c r="T107" s="63" t="str">
        <x:v>Course mapping supports evidence and capability development; it does not guarantee provider compliance.</x:v>
      </x:c>
    </x:row>
    <x:row r="108">
      <x:c r="A108" s="62" t="str">
        <x:v>WLO-105</x:v>
      </x:c>
      <x:c r="B108" s="63" t="str">
        <x:v>Workforce Leadership &amp; Provider Operations</x:v>
      </x:c>
      <x:c r="C108" s="63" t="str">
        <x:v>Workforce Planning, Capability Gaps and Continuity</x:v>
      </x:c>
      <x:c r="D108" s="63" t="str">
        <x:v>Frontline leaders, rostering teams, HR staff, provider managers and owners</x:v>
      </x:c>
      <x:c r="E108" s="63" t="str">
        <x:v>Intermediate</x:v>
      </x:c>
      <x:c r="F108" s="63" t="str">
        <x:v>Microlearning + knowledge check</x:v>
      </x:c>
      <x:c r="G108" s="64" t="n">
        <x:v>20</x:v>
      </x:c>
      <x:c r="H108" s="63" t="str">
        <x:v>Knowledge quiz and scenario check</x:v>
      </x:c>
      <x:c r="I108" s="63" t="str">
        <x:v>MapAble Academy Certificate of Completion (non-accredited professional development)</x:v>
      </x:c>
      <x:c r="J108" s="63" t="str">
        <x:v>24 months; confirm through provider risk assessment</x:v>
      </x:c>
      <x:c r="K108" s="63" t="str">
        <x:v>No – unless required by employer, support plan or risk assessment</x:v>
      </x:c>
      <x:c r="L108" s="63" t="str">
        <x:v>No</x:v>
      </x:c>
      <x:c r="M108" s="63" t="str">
        <x:v>Required before publication</x:v>
      </x:c>
      <x:c r="N108" s="63" t="str">
        <x:v>Wave 2 – Expansion</x:v>
      </x:c>
      <x:c r="O108" s="63" t="str">
        <x:v>Planned</x:v>
      </x:c>
      <x:c r="P108" s="63" t="str">
        <x:v>Disability Workforce Leadership</x:v>
      </x:c>
      <x:c r="Q108" s="63" t="str">
        <x:v>Human Resource Management; Workforce Capability; Continuity of Supports</x:v>
      </x:c>
      <x:c r="R108" s="63" t="str">
        <x:v>Apply the core principles of workforce planning, capability gaps and continuity within role scope, participant preferences and organisational escalation pathways.</x:v>
      </x:c>
      <x:c r="S108" s="63" t="str">
        <x:v>https://www.ndiscommission.gov.au/workforce/training-workers/guide-for-ndis-providers/training-your-workers</x:v>
      </x:c>
      <x:c r="T108" s="63" t="str">
        <x:v>Course mapping supports evidence and capability development; it does not guarantee provider compliance.</x:v>
      </x:c>
    </x:row>
    <x:row r="109">
      <x:c r="A109" s="62" t="str">
        <x:v>WLO-106</x:v>
      </x:c>
      <x:c r="B109" s="63" t="str">
        <x:v>Workforce Leadership &amp; Provider Operations</x:v>
      </x:c>
      <x:c r="C109" s="63" t="str">
        <x:v>Credential, Worker Screening and Equipment Expiry Monitoring</x:v>
      </x:c>
      <x:c r="D109" s="63" t="str">
        <x:v>Frontline leaders, rostering teams, HR staff, provider managers and owners</x:v>
      </x:c>
      <x:c r="E109" s="63" t="str">
        <x:v>Intermediate</x:v>
      </x:c>
      <x:c r="F109" s="63" t="str">
        <x:v>Self-paced eLearning</x:v>
      </x:c>
      <x:c r="G109" s="64" t="n">
        <x:v>30</x:v>
      </x:c>
      <x:c r="H109" s="63" t="str">
        <x:v>Case study and applied action plan</x:v>
      </x:c>
      <x:c r="I109" s="63" t="str">
        <x:v>MapAble Academy Certificate of Completion (non-accredited professional development)</x:v>
      </x:c>
      <x:c r="J109" s="63" t="str">
        <x:v>24 months; confirm through provider risk assessment</x:v>
      </x:c>
      <x:c r="K109" s="63" t="str">
        <x:v>No – unless required by employer, support plan or risk assessment</x:v>
      </x:c>
      <x:c r="L109" s="63" t="str">
        <x:v>No</x:v>
      </x:c>
      <x:c r="M109" s="63" t="str">
        <x:v>Required before publication</x:v>
      </x:c>
      <x:c r="N109" s="63" t="str">
        <x:v>Wave 2 – Expansion</x:v>
      </x:c>
      <x:c r="O109" s="63" t="str">
        <x:v>Planned</x:v>
      </x:c>
      <x:c r="P109" s="63" t="str">
        <x:v>Disability Workforce Leadership</x:v>
      </x:c>
      <x:c r="Q109" s="63" t="str">
        <x:v>Human Resource Management; Workforce Capability; Continuity of Supports</x:v>
      </x:c>
      <x:c r="R109" s="63" t="str">
        <x:v>Apply the core principles of credential, worker screening and equipment expiry monitoring within role scope, participant preferences and organisational escalation pathways.</x:v>
      </x:c>
      <x:c r="S109" s="63" t="str">
        <x:v>https://www.ndiscommission.gov.au/workforce/training-workers/guide-for-ndis-providers/training-your-workers</x:v>
      </x:c>
      <x:c r="T109" s="63" t="str">
        <x:v>Course mapping supports evidence and capability development; it does not guarantee provider compliance.</x:v>
      </x:c>
    </x:row>
    <x:row r="110">
      <x:c r="A110" s="62" t="str">
        <x:v>WLO-107</x:v>
      </x:c>
      <x:c r="B110" s="63" t="str">
        <x:v>Workforce Leadership &amp; Provider Operations</x:v>
      </x:c>
      <x:c r="C110" s="63" t="str">
        <x:v>SCHADS Award Awareness, Rostering and Escalation</x:v>
      </x:c>
      <x:c r="D110" s="63" t="str">
        <x:v>Frontline leaders, rostering teams, HR staff, provider managers and owners</x:v>
      </x:c>
      <x:c r="E110" s="63" t="str">
        <x:v>Intermediate</x:v>
      </x:c>
      <x:c r="F110" s="63" t="str">
        <x:v>Scenario lab / facilitated workshop</x:v>
      </x:c>
      <x:c r="G110" s="64" t="n">
        <x:v>40</x:v>
      </x:c>
      <x:c r="H110" s="63" t="str">
        <x:v>Case study and applied action plan</x:v>
      </x:c>
      <x:c r="I110" s="63" t="str">
        <x:v>MapAble Academy Certificate of Completion (non-accredited professional development)</x:v>
      </x:c>
      <x:c r="J110" s="63" t="str">
        <x:v>24 months; confirm through provider risk assessment</x:v>
      </x:c>
      <x:c r="K110" s="63" t="str">
        <x:v>No – unless required by employer, support plan or risk assessment</x:v>
      </x:c>
      <x:c r="L110" s="63" t="str">
        <x:v>No</x:v>
      </x:c>
      <x:c r="M110" s="63" t="str">
        <x:v>Required before publication</x:v>
      </x:c>
      <x:c r="N110" s="63" t="str">
        <x:v>Wave 2 – Expansion</x:v>
      </x:c>
      <x:c r="O110" s="63" t="str">
        <x:v>Planned</x:v>
      </x:c>
      <x:c r="P110" s="63" t="str">
        <x:v>Disability Workforce Leadership</x:v>
      </x:c>
      <x:c r="Q110" s="63" t="str">
        <x:v>Human Resource Management; Workforce Capability; Continuity of Supports</x:v>
      </x:c>
      <x:c r="R110" s="63" t="str">
        <x:v>Apply the core principles of schads award awareness, rostering and escalation within role scope, participant preferences and organisational escalation pathways.</x:v>
      </x:c>
      <x:c r="S110" s="63" t="str">
        <x:v>https://www.ndiscommission.gov.au/workforce/training-workers/guide-for-ndis-providers/training-your-workers</x:v>
      </x:c>
      <x:c r="T110" s="63" t="str">
        <x:v>Course mapping supports evidence and capability development; it does not guarantee provider compliance.</x:v>
      </x:c>
    </x:row>
    <x:row r="111">
      <x:c r="A111" s="62" t="str">
        <x:v>WLO-108</x:v>
      </x:c>
      <x:c r="B111" s="63" t="str">
        <x:v>Workforce Leadership &amp; Provider Operations</x:v>
      </x:c>
      <x:c r="C111" s="63" t="str">
        <x:v>Fatigue, Psychosocial Safety and Sustainable Work</x:v>
      </x:c>
      <x:c r="D111" s="63" t="str">
        <x:v>Frontline leaders, rostering teams, HR staff, provider managers and owners</x:v>
      </x:c>
      <x:c r="E111" s="63" t="str">
        <x:v>Advanced</x:v>
      </x:c>
      <x:c r="F111" s="63" t="str">
        <x:v>Scenario lab / facilitated workshop</x:v>
      </x:c>
      <x:c r="G111" s="64" t="n">
        <x:v>50</x:v>
      </x:c>
      <x:c r="H111" s="63" t="str">
        <x:v>Case study and applied action plan</x:v>
      </x:c>
      <x:c r="I111" s="63" t="str">
        <x:v>MapAble Academy Certificate of Completion (non-accredited professional development)</x:v>
      </x:c>
      <x:c r="J111" s="63" t="str">
        <x:v>24 months; confirm through provider risk assessment</x:v>
      </x:c>
      <x:c r="K111" s="63" t="str">
        <x:v>No – unless required by employer, support plan or risk assessment</x:v>
      </x:c>
      <x:c r="L111" s="63" t="str">
        <x:v>No</x:v>
      </x:c>
      <x:c r="M111" s="63" t="str">
        <x:v>Required before publication</x:v>
      </x:c>
      <x:c r="N111" s="63" t="str">
        <x:v>Wave 2 – Expansion</x:v>
      </x:c>
      <x:c r="O111" s="63" t="str">
        <x:v>Planned</x:v>
      </x:c>
      <x:c r="P111" s="63" t="str">
        <x:v>Disability Workforce Leadership</x:v>
      </x:c>
      <x:c r="Q111" s="63" t="str">
        <x:v>Human Resource Management; Workforce Capability; Continuity of Supports</x:v>
      </x:c>
      <x:c r="R111" s="63" t="str">
        <x:v>Apply the core principles of fatigue, psychosocial safety and sustainable work within role scope, participant preferences and organisational escalation pathways.</x:v>
      </x:c>
      <x:c r="S111" s="63" t="str">
        <x:v>https://www.ndiscommission.gov.au/workforce/training-workers/guide-for-ndis-providers/training-your-workers</x:v>
      </x:c>
      <x:c r="T111" s="63" t="str">
        <x:v>Course mapping supports evidence and capability development; it does not guarantee provider compliance.</x:v>
      </x:c>
    </x:row>
    <x:row r="112">
      <x:c r="A112" s="62" t="str">
        <x:v>WLO-109</x:v>
      </x:c>
      <x:c r="B112" s="63" t="str">
        <x:v>Workforce Leadership &amp; Provider Operations</x:v>
      </x:c>
      <x:c r="C112" s="63" t="str">
        <x:v>Contractors, Subcontractors and Platform Workforce Governance</x:v>
      </x:c>
      <x:c r="D112" s="63" t="str">
        <x:v>Frontline leaders, rostering teams, HR staff, provider managers and owners</x:v>
      </x:c>
      <x:c r="E112" s="63" t="str">
        <x:v>Advanced</x:v>
      </x:c>
      <x:c r="F112" s="63" t="str">
        <x:v>Scenario lab / facilitated workshop</x:v>
      </x:c>
      <x:c r="G112" s="64" t="n">
        <x:v>20</x:v>
      </x:c>
      <x:c r="H112" s="63" t="str">
        <x:v>Case study and applied action plan</x:v>
      </x:c>
      <x:c r="I112" s="63" t="str">
        <x:v>MapAble Academy Certificate of Completion (non-accredited professional development)</x:v>
      </x:c>
      <x:c r="J112" s="63" t="str">
        <x:v>24 months; confirm through provider risk assessment</x:v>
      </x:c>
      <x:c r="K112" s="63" t="str">
        <x:v>No – unless required by employer, support plan or risk assessment</x:v>
      </x:c>
      <x:c r="L112" s="63" t="str">
        <x:v>No</x:v>
      </x:c>
      <x:c r="M112" s="63" t="str">
        <x:v>Required before publication</x:v>
      </x:c>
      <x:c r="N112" s="63" t="str">
        <x:v>Wave 2 – Expansion</x:v>
      </x:c>
      <x:c r="O112" s="63" t="str">
        <x:v>Planned</x:v>
      </x:c>
      <x:c r="P112" s="63" t="str">
        <x:v>Disability Workforce Leadership</x:v>
      </x:c>
      <x:c r="Q112" s="63" t="str">
        <x:v>Human Resource Management; Workforce Capability; Continuity of Supports</x:v>
      </x:c>
      <x:c r="R112" s="63" t="str">
        <x:v>Apply the core principles of contractors, subcontractors and platform workforce governance within role scope, participant preferences and organisational escalation pathways.</x:v>
      </x:c>
      <x:c r="S112" s="63" t="str">
        <x:v>https://www.ndiscommission.gov.au/workforce/training-workers/guide-for-ndis-providers/training-your-workers</x:v>
      </x:c>
      <x:c r="T112" s="63" t="str">
        <x:v>Course mapping supports evidence and capability development; it does not guarantee provider compliance.</x:v>
      </x:c>
    </x:row>
    <x:row r="113">
      <x:c r="A113" s="62" t="str">
        <x:v>WLO-110</x:v>
      </x:c>
      <x:c r="B113" s="63" t="str">
        <x:v>Workforce Leadership &amp; Provider Operations</x:v>
      </x:c>
      <x:c r="C113" s="63" t="str">
        <x:v>Ethical Marketing, Referrals and Provider Relationships</x:v>
      </x:c>
      <x:c r="D113" s="63" t="str">
        <x:v>Frontline leaders, rostering teams, HR staff, provider managers and owners</x:v>
      </x:c>
      <x:c r="E113" s="63" t="str">
        <x:v>Advanced</x:v>
      </x:c>
      <x:c r="F113" s="63" t="str">
        <x:v>Scenario lab / facilitated workshop</x:v>
      </x:c>
      <x:c r="G113" s="64" t="n">
        <x:v>30</x:v>
      </x:c>
      <x:c r="H113" s="63" t="str">
        <x:v>Case study and applied action plan</x:v>
      </x:c>
      <x:c r="I113" s="63" t="str">
        <x:v>MapAble Academy Certificate of Completion (non-accredited professional development)</x:v>
      </x:c>
      <x:c r="J113" s="63" t="str">
        <x:v>24 months; confirm through provider risk assessment</x:v>
      </x:c>
      <x:c r="K113" s="63" t="str">
        <x:v>No – unless required by employer, support plan or risk assessment</x:v>
      </x:c>
      <x:c r="L113" s="63" t="str">
        <x:v>No</x:v>
      </x:c>
      <x:c r="M113" s="63" t="str">
        <x:v>Required before publication</x:v>
      </x:c>
      <x:c r="N113" s="63" t="str">
        <x:v>Wave 2 – Expansion</x:v>
      </x:c>
      <x:c r="O113" s="63" t="str">
        <x:v>Planned</x:v>
      </x:c>
      <x:c r="P113" s="63" t="str">
        <x:v>Disability Workforce Leadership</x:v>
      </x:c>
      <x:c r="Q113" s="63" t="str">
        <x:v>Human Resource Management; Workforce Capability; Continuity of Supports</x:v>
      </x:c>
      <x:c r="R113" s="63" t="str">
        <x:v>Apply the core principles of ethical marketing, referrals and provider relationships within role scope, participant preferences and organisational escalation pathways.</x:v>
      </x:c>
      <x:c r="S113" s="63" t="str">
        <x:v>https://www.ndiscommission.gov.au/workforce/training-workers/guide-for-ndis-providers/training-your-workers</x:v>
      </x:c>
      <x:c r="T113" s="63" t="str">
        <x:v>Course mapping supports evidence and capability development; it does not guarantee provider compliance.</x:v>
      </x:c>
    </x:row>
    <x:row r="114">
      <x:c r="A114" s="62" t="str">
        <x:v>DDA-101</x:v>
      </x:c>
      <x:c r="B114" s="63" t="str">
        <x:v>Digital Practice, Data, AI &amp; Cybersecurity</x:v>
      </x:c>
      <x:c r="C114" s="63" t="str">
        <x:v>Privacy, Data Minimisation and Need-to-Know Access</x:v>
      </x:c>
      <x:c r="D114" s="63" t="str">
        <x:v>All workers, provider leaders, digital teams and records administrators</x:v>
      </x:c>
      <x:c r="E114" s="63" t="str">
        <x:v>Foundation</x:v>
      </x:c>
      <x:c r="F114" s="63" t="str">
        <x:v>Microlearning + knowledge check</x:v>
      </x:c>
      <x:c r="G114" s="64" t="n">
        <x:v>20</x:v>
      </x:c>
      <x:c r="H114" s="63" t="str">
        <x:v>Knowledge quiz and scenario check</x:v>
      </x:c>
      <x:c r="I114" s="63" t="str">
        <x:v>MapAble Academy Certificate of Completion (non-accredited professional development)</x:v>
      </x:c>
      <x:c r="J114" s="63" t="str">
        <x:v>24 months; confirm through provider risk assessment</x:v>
      </x:c>
      <x:c r="K114" s="63" t="str">
        <x:v>No – unless required by employer, support plan or risk assessment</x:v>
      </x:c>
      <x:c r="L114" s="63" t="str">
        <x:v>No</x:v>
      </x:c>
      <x:c r="M114" s="63" t="str">
        <x:v>Required before publication</x:v>
      </x:c>
      <x:c r="N114" s="63" t="str">
        <x:v>Wave 2 – Expansion</x:v>
      </x:c>
      <x:c r="O114" s="63" t="str">
        <x:v>Planned</x:v>
      </x:c>
      <x:c r="P114" s="63" t="str">
        <x:v>Responsible Digital Practice</x:v>
      </x:c>
      <x:c r="Q114" s="63" t="str">
        <x:v>Information Management; Privacy; Cybersecurity; Digital Accessibility; AI Governance</x:v>
      </x:c>
      <x:c r="R114" s="63" t="str">
        <x:v>Apply the core principles of privacy, data minimisation and need-to-know access within role scope, participant preferences and organisational escalation pathways.</x:v>
      </x:c>
      <x:c r="S114" s="63" t="str">
        <x:v>https://www.w3.org/TR/WCAG22/</x:v>
      </x:c>
      <x:c r="T114" s="63" t="str">
        <x:v>Course mapping supports evidence and capability development; it does not guarantee provider compliance.</x:v>
      </x:c>
    </x:row>
    <x:row r="115">
      <x:c r="A115" s="62" t="str">
        <x:v>DDA-102</x:v>
      </x:c>
      <x:c r="B115" s="63" t="str">
        <x:v>Digital Practice, Data, AI &amp; Cybersecurity</x:v>
      </x:c>
      <x:c r="C115" s="63" t="str">
        <x:v>Cybersecurity Essentials for Disability Workers</x:v>
      </x:c>
      <x:c r="D115" s="63" t="str">
        <x:v>All workers, provider leaders, digital teams and records administrators</x:v>
      </x:c>
      <x:c r="E115" s="63" t="str">
        <x:v>Foundation</x:v>
      </x:c>
      <x:c r="F115" s="63" t="str">
        <x:v>Self-paced eLearning</x:v>
      </x:c>
      <x:c r="G115" s="64" t="n">
        <x:v>30</x:v>
      </x:c>
      <x:c r="H115" s="63" t="str">
        <x:v>Knowledge quiz and scenario check</x:v>
      </x:c>
      <x:c r="I115" s="63" t="str">
        <x:v>MapAble Academy Certificate of Completion (non-accredited professional development)</x:v>
      </x:c>
      <x:c r="J115" s="63" t="str">
        <x:v>24 months; confirm through provider risk assessment</x:v>
      </x:c>
      <x:c r="K115" s="63" t="str">
        <x:v>No – unless required by employer, support plan or risk assessment</x:v>
      </x:c>
      <x:c r="L115" s="63" t="str">
        <x:v>No</x:v>
      </x:c>
      <x:c r="M115" s="63" t="str">
        <x:v>Required before publication</x:v>
      </x:c>
      <x:c r="N115" s="63" t="str">
        <x:v>Wave 2 – Expansion</x:v>
      </x:c>
      <x:c r="O115" s="63" t="str">
        <x:v>Planned</x:v>
      </x:c>
      <x:c r="P115" s="63" t="str">
        <x:v>Responsible Digital Practice</x:v>
      </x:c>
      <x:c r="Q115" s="63" t="str">
        <x:v>Information Management; Privacy; Cybersecurity; Digital Accessibility; AI Governance</x:v>
      </x:c>
      <x:c r="R115" s="63" t="str">
        <x:v>Apply the core principles of cybersecurity essentials for disability workers within role scope, participant preferences and organisational escalation pathways.</x:v>
      </x:c>
      <x:c r="S115" s="63" t="str">
        <x:v>https://www.w3.org/TR/WCAG22/</x:v>
      </x:c>
      <x:c r="T115" s="63" t="str">
        <x:v>Course mapping supports evidence and capability development; it does not guarantee provider compliance.</x:v>
      </x:c>
    </x:row>
    <x:row r="116">
      <x:c r="A116" s="62" t="str">
        <x:v>DDA-103</x:v>
      </x:c>
      <x:c r="B116" s="63" t="str">
        <x:v>Digital Practice, Data, AI &amp; Cybersecurity</x:v>
      </x:c>
      <x:c r="C116" s="63" t="str">
        <x:v>Phishing, Scams and Social Engineering</x:v>
      </x:c>
      <x:c r="D116" s="63" t="str">
        <x:v>All workers, provider leaders, digital teams and records administrators</x:v>
      </x:c>
      <x:c r="E116" s="63" t="str">
        <x:v>Foundation</x:v>
      </x:c>
      <x:c r="F116" s="63" t="str">
        <x:v>Self-paced eLearning</x:v>
      </x:c>
      <x:c r="G116" s="64" t="n">
        <x:v>40</x:v>
      </x:c>
      <x:c r="H116" s="63" t="str">
        <x:v>Knowledge quiz and scenario check</x:v>
      </x:c>
      <x:c r="I116" s="63" t="str">
        <x:v>MapAble Academy Certificate of Completion (non-accredited professional development)</x:v>
      </x:c>
      <x:c r="J116" s="63" t="str">
        <x:v>24 months; confirm through provider risk assessment</x:v>
      </x:c>
      <x:c r="K116" s="63" t="str">
        <x:v>No – unless required by employer, support plan or risk assessment</x:v>
      </x:c>
      <x:c r="L116" s="63" t="str">
        <x:v>No</x:v>
      </x:c>
      <x:c r="M116" s="63" t="str">
        <x:v>Required before publication</x:v>
      </x:c>
      <x:c r="N116" s="63" t="str">
        <x:v>Wave 2 – Expansion</x:v>
      </x:c>
      <x:c r="O116" s="63" t="str">
        <x:v>Planned</x:v>
      </x:c>
      <x:c r="P116" s="63" t="str">
        <x:v>Responsible Digital Practice</x:v>
      </x:c>
      <x:c r="Q116" s="63" t="str">
        <x:v>Information Management; Privacy; Cybersecurity; Digital Accessibility; AI Governance</x:v>
      </x:c>
      <x:c r="R116" s="63" t="str">
        <x:v>Apply the core principles of phishing, scams and social engineering within role scope, participant preferences and organisational escalation pathways.</x:v>
      </x:c>
      <x:c r="S116" s="63" t="str">
        <x:v>https://www.w3.org/TR/WCAG22/</x:v>
      </x:c>
      <x:c r="T116" s="63" t="str">
        <x:v>Course mapping supports evidence and capability development; it does not guarantee provider compliance.</x:v>
      </x:c>
    </x:row>
    <x:row r="117">
      <x:c r="A117" s="62" t="str">
        <x:v>DDA-104</x:v>
      </x:c>
      <x:c r="B117" s="63" t="str">
        <x:v>Digital Practice, Data, AI &amp; Cybersecurity</x:v>
      </x:c>
      <x:c r="C117" s="63" t="str">
        <x:v>Mobile Devices, BYOD and Secure Remote Work</x:v>
      </x:c>
      <x:c r="D117" s="63" t="str">
        <x:v>All workers, provider leaders, digital teams and records administrators</x:v>
      </x:c>
      <x:c r="E117" s="63" t="str">
        <x:v>Intermediate</x:v>
      </x:c>
      <x:c r="F117" s="63" t="str">
        <x:v>Scenario-based eLearning</x:v>
      </x:c>
      <x:c r="G117" s="64" t="n">
        <x:v>50</x:v>
      </x:c>
      <x:c r="H117" s="63" t="str">
        <x:v>Knowledge quiz and scenario check</x:v>
      </x:c>
      <x:c r="I117" s="63" t="str">
        <x:v>MapAble Academy Certificate of Completion (non-accredited professional development)</x:v>
      </x:c>
      <x:c r="J117" s="63" t="str">
        <x:v>24 months; confirm through provider risk assessment</x:v>
      </x:c>
      <x:c r="K117" s="63" t="str">
        <x:v>No – unless required by employer, support plan or risk assessment</x:v>
      </x:c>
      <x:c r="L117" s="63" t="str">
        <x:v>No</x:v>
      </x:c>
      <x:c r="M117" s="63" t="str">
        <x:v>Required before publication</x:v>
      </x:c>
      <x:c r="N117" s="63" t="str">
        <x:v>Wave 2 – Expansion</x:v>
      </x:c>
      <x:c r="O117" s="63" t="str">
        <x:v>Planned</x:v>
      </x:c>
      <x:c r="P117" s="63" t="str">
        <x:v>Responsible Digital Practice</x:v>
      </x:c>
      <x:c r="Q117" s="63" t="str">
        <x:v>Information Management; Privacy; Cybersecurity; Digital Accessibility; AI Governance</x:v>
      </x:c>
      <x:c r="R117" s="63" t="str">
        <x:v>Apply the core principles of mobile devices, byod and secure remote work within role scope, participant preferences and organisational escalation pathways.</x:v>
      </x:c>
      <x:c r="S117" s="63" t="str">
        <x:v>https://www.w3.org/TR/WCAG22/</x:v>
      </x:c>
      <x:c r="T117" s="63" t="str">
        <x:v>Course mapping supports evidence and capability development; it does not guarantee provider compliance.</x:v>
      </x:c>
    </x:row>
    <x:row r="118">
      <x:c r="A118" s="62" t="str">
        <x:v>DDA-105</x:v>
      </x:c>
      <x:c r="B118" s="63" t="str">
        <x:v>Digital Practice, Data, AI &amp; Cybersecurity</x:v>
      </x:c>
      <x:c r="C118" s="63" t="str">
        <x:v>Case Notes, Data Quality and Auditability</x:v>
      </x:c>
      <x:c r="D118" s="63" t="str">
        <x:v>All workers, provider leaders, digital teams and records administrators</x:v>
      </x:c>
      <x:c r="E118" s="63" t="str">
        <x:v>Intermediate</x:v>
      </x:c>
      <x:c r="F118" s="63" t="str">
        <x:v>Microlearning + knowledge check</x:v>
      </x:c>
      <x:c r="G118" s="64" t="n">
        <x:v>20</x:v>
      </x:c>
      <x:c r="H118" s="63" t="str">
        <x:v>Knowledge quiz and scenario check</x:v>
      </x:c>
      <x:c r="I118" s="63" t="str">
        <x:v>MapAble Academy Certificate of Completion (non-accredited professional development)</x:v>
      </x:c>
      <x:c r="J118" s="63" t="str">
        <x:v>24 months; confirm through provider risk assessment</x:v>
      </x:c>
      <x:c r="K118" s="63" t="str">
        <x:v>No – unless required by employer, support plan or risk assessment</x:v>
      </x:c>
      <x:c r="L118" s="63" t="str">
        <x:v>No</x:v>
      </x:c>
      <x:c r="M118" s="63" t="str">
        <x:v>Required before publication</x:v>
      </x:c>
      <x:c r="N118" s="63" t="str">
        <x:v>Wave 2 – Expansion</x:v>
      </x:c>
      <x:c r="O118" s="63" t="str">
        <x:v>Planned</x:v>
      </x:c>
      <x:c r="P118" s="63" t="str">
        <x:v>Responsible Digital Practice</x:v>
      </x:c>
      <x:c r="Q118" s="63" t="str">
        <x:v>Information Management; Privacy; Cybersecurity; Digital Accessibility; AI Governance</x:v>
      </x:c>
      <x:c r="R118" s="63" t="str">
        <x:v>Apply the core principles of case notes, data quality and auditability within role scope, participant preferences and organisational escalation pathways.</x:v>
      </x:c>
      <x:c r="S118" s="63" t="str">
        <x:v>https://www.w3.org/TR/WCAG22/</x:v>
      </x:c>
      <x:c r="T118" s="63" t="str">
        <x:v>Course mapping supports evidence and capability development; it does not guarantee provider compliance.</x:v>
      </x:c>
    </x:row>
    <x:row r="119">
      <x:c r="A119" s="62" t="str">
        <x:v>DDA-106</x:v>
      </x:c>
      <x:c r="B119" s="63" t="str">
        <x:v>Digital Practice, Data, AI &amp; Cybersecurity</x:v>
      </x:c>
      <x:c r="C119" s="63" t="str">
        <x:v>Responsible AI in Disability Services</x:v>
      </x:c>
      <x:c r="D119" s="63" t="str">
        <x:v>All workers, provider leaders, digital teams and records administrators</x:v>
      </x:c>
      <x:c r="E119" s="63" t="str">
        <x:v>Intermediate</x:v>
      </x:c>
      <x:c r="F119" s="63" t="str">
        <x:v>Self-paced eLearning</x:v>
      </x:c>
      <x:c r="G119" s="64" t="n">
        <x:v>30</x:v>
      </x:c>
      <x:c r="H119" s="63" t="str">
        <x:v>Case study and applied action plan</x:v>
      </x:c>
      <x:c r="I119" s="63" t="str">
        <x:v>MapAble Academy Certificate of Completion (non-accredited professional development)</x:v>
      </x:c>
      <x:c r="J119" s="63" t="str">
        <x:v>24 months; confirm through provider risk assessment</x:v>
      </x:c>
      <x:c r="K119" s="63" t="str">
        <x:v>No – unless required by employer, support plan or risk assessment</x:v>
      </x:c>
      <x:c r="L119" s="63" t="str">
        <x:v>No</x:v>
      </x:c>
      <x:c r="M119" s="63" t="str">
        <x:v>Required before publication</x:v>
      </x:c>
      <x:c r="N119" s="63" t="str">
        <x:v>Wave 3 – Specialist</x:v>
      </x:c>
      <x:c r="O119" s="63" t="str">
        <x:v>Planned</x:v>
      </x:c>
      <x:c r="P119" s="63" t="str">
        <x:v>Responsible Digital Practice</x:v>
      </x:c>
      <x:c r="Q119" s="63" t="str">
        <x:v>Information Management; Privacy; Cybersecurity; Digital Accessibility; AI Governance</x:v>
      </x:c>
      <x:c r="R119" s="63" t="str">
        <x:v>Apply the core principles of responsible ai in disability services within role scope, participant preferences and organisational escalation pathways.</x:v>
      </x:c>
      <x:c r="S119" s="63" t="str">
        <x:v>https://www.w3.org/TR/WCAG22/</x:v>
      </x:c>
      <x:c r="T119" s="63" t="str">
        <x:v>Course mapping supports evidence and capability development; it does not guarantee provider compliance.</x:v>
      </x:c>
    </x:row>
    <x:row r="120">
      <x:c r="A120" s="62" t="str">
        <x:v>DDA-107</x:v>
      </x:c>
      <x:c r="B120" s="63" t="str">
        <x:v>Digital Practice, Data, AI &amp; Cybersecurity</x:v>
      </x:c>
      <x:c r="C120" s="63" t="str">
        <x:v>Algorithmic Bias, Human Oversight and Contestability</x:v>
      </x:c>
      <x:c r="D120" s="63" t="str">
        <x:v>All workers, provider leaders, digital teams and records administrators</x:v>
      </x:c>
      <x:c r="E120" s="63" t="str">
        <x:v>Intermediate</x:v>
      </x:c>
      <x:c r="F120" s="63" t="str">
        <x:v>Self-paced eLearning</x:v>
      </x:c>
      <x:c r="G120" s="64" t="n">
        <x:v>40</x:v>
      </x:c>
      <x:c r="H120" s="63" t="str">
        <x:v>Case study and applied action plan</x:v>
      </x:c>
      <x:c r="I120" s="63" t="str">
        <x:v>MapAble Academy Certificate of Completion (non-accredited professional development)</x:v>
      </x:c>
      <x:c r="J120" s="63" t="str">
        <x:v>24 months; confirm through provider risk assessment</x:v>
      </x:c>
      <x:c r="K120" s="63" t="str">
        <x:v>No – unless required by employer, support plan or risk assessment</x:v>
      </x:c>
      <x:c r="L120" s="63" t="str">
        <x:v>No</x:v>
      </x:c>
      <x:c r="M120" s="63" t="str">
        <x:v>Required before publication</x:v>
      </x:c>
      <x:c r="N120" s="63" t="str">
        <x:v>Wave 3 – Specialist</x:v>
      </x:c>
      <x:c r="O120" s="63" t="str">
        <x:v>Planned</x:v>
      </x:c>
      <x:c r="P120" s="63" t="str">
        <x:v>Responsible Digital Practice</x:v>
      </x:c>
      <x:c r="Q120" s="63" t="str">
        <x:v>Information Management; Privacy; Cybersecurity; Digital Accessibility; AI Governance</x:v>
      </x:c>
      <x:c r="R120" s="63" t="str">
        <x:v>Apply the core principles of algorithmic bias, human oversight and contestability within role scope, participant preferences and organisational escalation pathways.</x:v>
      </x:c>
      <x:c r="S120" s="63" t="str">
        <x:v>https://www.w3.org/TR/WCAG22/</x:v>
      </x:c>
      <x:c r="T120" s="63" t="str">
        <x:v>Course mapping supports evidence and capability development; it does not guarantee provider compliance.</x:v>
      </x:c>
    </x:row>
    <x:row r="121">
      <x:c r="A121" s="62" t="str">
        <x:v>DDA-108</x:v>
      </x:c>
      <x:c r="B121" s="63" t="str">
        <x:v>Digital Practice, Data, AI &amp; Cybersecurity</x:v>
      </x:c>
      <x:c r="C121" s="63" t="str">
        <x:v>Digital Accessibility and WCAG 2.2 AA</x:v>
      </x:c>
      <x:c r="D121" s="63" t="str">
        <x:v>All workers, provider leaders, digital teams and records administrators</x:v>
      </x:c>
      <x:c r="E121" s="63" t="str">
        <x:v>Advanced</x:v>
      </x:c>
      <x:c r="F121" s="63" t="str">
        <x:v>Scenario-based eLearning</x:v>
      </x:c>
      <x:c r="G121" s="64" t="n">
        <x:v>50</x:v>
      </x:c>
      <x:c r="H121" s="63" t="str">
        <x:v>Case study and applied action plan</x:v>
      </x:c>
      <x:c r="I121" s="63" t="str">
        <x:v>MapAble Academy Certificate of Completion (non-accredited professional development)</x:v>
      </x:c>
      <x:c r="J121" s="63" t="str">
        <x:v>24 months; confirm through provider risk assessment</x:v>
      </x:c>
      <x:c r="K121" s="63" t="str">
        <x:v>No – unless required by employer, support plan or risk assessment</x:v>
      </x:c>
      <x:c r="L121" s="63" t="str">
        <x:v>No</x:v>
      </x:c>
      <x:c r="M121" s="63" t="str">
        <x:v>Required before publication</x:v>
      </x:c>
      <x:c r="N121" s="63" t="str">
        <x:v>Wave 3 – Specialist</x:v>
      </x:c>
      <x:c r="O121" s="63" t="str">
        <x:v>Planned</x:v>
      </x:c>
      <x:c r="P121" s="63" t="str">
        <x:v>Responsible Digital Practice</x:v>
      </x:c>
      <x:c r="Q121" s="63" t="str">
        <x:v>Information Management; Privacy; Cybersecurity; Digital Accessibility; AI Governance</x:v>
      </x:c>
      <x:c r="R121" s="63" t="str">
        <x:v>Apply the core principles of digital accessibility and wcag 2.2 aa within role scope, participant preferences and organisational escalation pathways.</x:v>
      </x:c>
      <x:c r="S121" s="63" t="str">
        <x:v>https://www.w3.org/TR/WCAG22/</x:v>
      </x:c>
      <x:c r="T121" s="63" t="str">
        <x:v>Course mapping supports evidence and capability development; it does not guarantee provider compliance.</x:v>
      </x:c>
    </x:row>
    <x:row r="122">
      <x:c r="A122" s="62" t="str">
        <x:v>DDA-109</x:v>
      </x:c>
      <x:c r="B122" s="63" t="str">
        <x:v>Digital Practice, Data, AI &amp; Cybersecurity</x:v>
      </x:c>
      <x:c r="C122" s="63" t="str">
        <x:v>Data Breaches, Cyber Incidents and Escalation</x:v>
      </x:c>
      <x:c r="D122" s="63" t="str">
        <x:v>All workers, provider leaders, digital teams and records administrators</x:v>
      </x:c>
      <x:c r="E122" s="63" t="str">
        <x:v>Advanced</x:v>
      </x:c>
      <x:c r="F122" s="63" t="str">
        <x:v>Microlearning + knowledge check</x:v>
      </x:c>
      <x:c r="G122" s="64" t="n">
        <x:v>20</x:v>
      </x:c>
      <x:c r="H122" s="63" t="str">
        <x:v>Case study and applied action plan</x:v>
      </x:c>
      <x:c r="I122" s="63" t="str">
        <x:v>MapAble Academy Certificate of Completion (non-accredited professional development)</x:v>
      </x:c>
      <x:c r="J122" s="63" t="str">
        <x:v>24 months; confirm through provider risk assessment</x:v>
      </x:c>
      <x:c r="K122" s="63" t="str">
        <x:v>No – unless required by employer, support plan or risk assessment</x:v>
      </x:c>
      <x:c r="L122" s="63" t="str">
        <x:v>No</x:v>
      </x:c>
      <x:c r="M122" s="63" t="str">
        <x:v>Required before publication</x:v>
      </x:c>
      <x:c r="N122" s="63" t="str">
        <x:v>Wave 2 – Expansion</x:v>
      </x:c>
      <x:c r="O122" s="63" t="str">
        <x:v>Planned</x:v>
      </x:c>
      <x:c r="P122" s="63" t="str">
        <x:v>Responsible Digital Practice</x:v>
      </x:c>
      <x:c r="Q122" s="63" t="str">
        <x:v>Information Management; Privacy; Cybersecurity; Digital Accessibility; AI Governance</x:v>
      </x:c>
      <x:c r="R122" s="63" t="str">
        <x:v>Apply the core principles of data breaches, cyber incidents and escalation within role scope, participant preferences and organisational escalation pathways.</x:v>
      </x:c>
      <x:c r="S122" s="63" t="str">
        <x:v>https://www.w3.org/TR/WCAG22/</x:v>
      </x:c>
      <x:c r="T122" s="63" t="str">
        <x:v>Course mapping supports evidence and capability development; it does not guarantee provider compliance.</x:v>
      </x:c>
    </x:row>
    <x:row r="123">
      <x:c r="A123" s="62" t="str">
        <x:v>DDA-110</x:v>
      </x:c>
      <x:c r="B123" s="63" t="str">
        <x:v>Digital Practice, Data, AI &amp; Cybersecurity</x:v>
      </x:c>
      <x:c r="C123" s="63" t="str">
        <x:v>Source-Cited AI Drafting for Service Documents</x:v>
      </x:c>
      <x:c r="D123" s="63" t="str">
        <x:v>All workers, provider leaders, digital teams and records administrators</x:v>
      </x:c>
      <x:c r="E123" s="63" t="str">
        <x:v>Advanced</x:v>
      </x:c>
      <x:c r="F123" s="63" t="str">
        <x:v>Self-paced eLearning</x:v>
      </x:c>
      <x:c r="G123" s="64" t="n">
        <x:v>30</x:v>
      </x:c>
      <x:c r="H123" s="63" t="str">
        <x:v>Case study and applied action plan</x:v>
      </x:c>
      <x:c r="I123" s="63" t="str">
        <x:v>MapAble Academy Certificate of Completion (non-accredited professional development)</x:v>
      </x:c>
      <x:c r="J123" s="63" t="str">
        <x:v>24 months; confirm through provider risk assessment</x:v>
      </x:c>
      <x:c r="K123" s="63" t="str">
        <x:v>No – unless required by employer, support plan or risk assessment</x:v>
      </x:c>
      <x:c r="L123" s="63" t="str">
        <x:v>No</x:v>
      </x:c>
      <x:c r="M123" s="63" t="str">
        <x:v>Required before publication</x:v>
      </x:c>
      <x:c r="N123" s="63" t="str">
        <x:v>Wave 3 – Specialist</x:v>
      </x:c>
      <x:c r="O123" s="63" t="str">
        <x:v>Planned</x:v>
      </x:c>
      <x:c r="P123" s="63" t="str">
        <x:v>Responsible Digital Practice</x:v>
      </x:c>
      <x:c r="Q123" s="63" t="str">
        <x:v>Information Management; Privacy; Cybersecurity; Digital Accessibility; AI Governance</x:v>
      </x:c>
      <x:c r="R123" s="63" t="str">
        <x:v>Apply the core principles of source-cited ai drafting for service documents within role scope, participant preferences and organisational escalation pathways.</x:v>
      </x:c>
      <x:c r="S123" s="63" t="str">
        <x:v>https://www.w3.org/TR/WCAG22/</x:v>
      </x:c>
      <x:c r="T123" s="63" t="str">
        <x:v>Course mapping supports evidence and capability development; it does not guarantee provider compliance.</x:v>
      </x:c>
    </x:row>
    <x:row r="124">
      <x:c r="A124" s="62" t="str">
        <x:v>LIS-101</x:v>
      </x:c>
      <x:c r="B124" s="63" t="str">
        <x:v>Life Stages, Identities &amp; Specialist Contexts</x:v>
      </x:c>
      <x:c r="C124" s="63" t="str">
        <x:v>Supporting Children and Working in Partnership with Families</x:v>
      </x:c>
      <x:c r="D124" s="63" t="str">
        <x:v>Workers and providers supporting diverse people, families and communities</x:v>
      </x:c>
      <x:c r="E124" s="63" t="str">
        <x:v>Foundation</x:v>
      </x:c>
      <x:c r="F124" s="63" t="str">
        <x:v>Microlearning + knowledge check</x:v>
      </x:c>
      <x:c r="G124" s="64" t="n">
        <x:v>20</x:v>
      </x:c>
      <x:c r="H124" s="63" t="str">
        <x:v>Knowledge quiz and scenario check</x:v>
      </x:c>
      <x:c r="I124" s="63" t="str">
        <x:v>MapAble Academy Certificate of Completion (non-accredited professional development)</x:v>
      </x:c>
      <x:c r="J124" s="63" t="str">
        <x:v>24 months; confirm through provider risk assessment</x:v>
      </x:c>
      <x:c r="K124" s="63" t="str">
        <x:v>No – unless required by employer, support plan or risk assessment</x:v>
      </x:c>
      <x:c r="L124" s="63" t="str">
        <x:v>No</x:v>
      </x:c>
      <x:c r="M124" s="63" t="str">
        <x:v>Required before publication</x:v>
      </x:c>
      <x:c r="N124" s="63" t="str">
        <x:v>Wave 3 – Specialist</x:v>
      </x:c>
      <x:c r="O124" s="63" t="str">
        <x:v>Planned</x:v>
      </x:c>
      <x:c r="P124" s="63" t="str">
        <x:v>Responsive and Culturally Safe Support</x:v>
      </x:c>
      <x:c r="Q124" s="63" t="str">
        <x:v>Individual Values and Beliefs; Cultural Safety; Responsive Support Provision</x:v>
      </x:c>
      <x:c r="R124" s="63" t="str">
        <x:v>Apply the core principles of supporting children and working in partnership with families within role scope, participant preferences and organisational escalation pathways.</x:v>
      </x:c>
      <x:c r="S124" s="63" t="str">
        <x:v>https://www.ndiscommission.gov.au/workforce/training-workers/guide-for-ndis-providers/training-your-workers</x:v>
      </x:c>
      <x:c r="T124" s="63" t="str">
        <x:v>Course mapping supports evidence and capability development; it does not guarantee provider compliance.</x:v>
      </x:c>
    </x:row>
    <x:row r="125">
      <x:c r="A125" s="62" t="str">
        <x:v>LIS-102</x:v>
      </x:c>
      <x:c r="B125" s="63" t="str">
        <x:v>Life Stages, Identities &amp; Specialist Contexts</x:v>
      </x:c>
      <x:c r="C125" s="63" t="str">
        <x:v>Adolescence and Transition to Adult Life</x:v>
      </x:c>
      <x:c r="D125" s="63" t="str">
        <x:v>Workers and providers supporting diverse people, families and communities</x:v>
      </x:c>
      <x:c r="E125" s="63" t="str">
        <x:v>Foundation</x:v>
      </x:c>
      <x:c r="F125" s="63" t="str">
        <x:v>Self-paced eLearning</x:v>
      </x:c>
      <x:c r="G125" s="64" t="n">
        <x:v>30</x:v>
      </x:c>
      <x:c r="H125" s="63" t="str">
        <x:v>Knowledge quiz and scenario check</x:v>
      </x:c>
      <x:c r="I125" s="63" t="str">
        <x:v>MapAble Academy Certificate of Completion (non-accredited professional development)</x:v>
      </x:c>
      <x:c r="J125" s="63" t="str">
        <x:v>24 months; confirm through provider risk assessment</x:v>
      </x:c>
      <x:c r="K125" s="63" t="str">
        <x:v>No – unless required by employer, support plan or risk assessment</x:v>
      </x:c>
      <x:c r="L125" s="63" t="str">
        <x:v>No</x:v>
      </x:c>
      <x:c r="M125" s="63" t="str">
        <x:v>Required before publication</x:v>
      </x:c>
      <x:c r="N125" s="63" t="str">
        <x:v>Wave 3 – Specialist</x:v>
      </x:c>
      <x:c r="O125" s="63" t="str">
        <x:v>Planned</x:v>
      </x:c>
      <x:c r="P125" s="63" t="str">
        <x:v>Responsive and Culturally Safe Support</x:v>
      </x:c>
      <x:c r="Q125" s="63" t="str">
        <x:v>Individual Values and Beliefs; Cultural Safety; Responsive Support Provision</x:v>
      </x:c>
      <x:c r="R125" s="63" t="str">
        <x:v>Apply the core principles of adolescence and transition to adult life within role scope, participant preferences and organisational escalation pathways.</x:v>
      </x:c>
      <x:c r="S125" s="63" t="str">
        <x:v>https://www.ndiscommission.gov.au/workforce/training-workers/guide-for-ndis-providers/training-your-workers</x:v>
      </x:c>
      <x:c r="T125" s="63" t="str">
        <x:v>Course mapping supports evidence and capability development; it does not guarantee provider compliance.</x:v>
      </x:c>
    </x:row>
    <x:row r="126">
      <x:c r="A126" s="62" t="str">
        <x:v>LIS-103</x:v>
      </x:c>
      <x:c r="B126" s="63" t="str">
        <x:v>Life Stages, Identities &amp; Specialist Contexts</x:v>
      </x:c>
      <x:c r="C126" s="63" t="str">
        <x:v>Ageing with Disability</x:v>
      </x:c>
      <x:c r="D126" s="63" t="str">
        <x:v>Workers and providers supporting diverse people, families and communities</x:v>
      </x:c>
      <x:c r="E126" s="63" t="str">
        <x:v>Foundation</x:v>
      </x:c>
      <x:c r="F126" s="63" t="str">
        <x:v>Self-paced eLearning</x:v>
      </x:c>
      <x:c r="G126" s="64" t="n">
        <x:v>40</x:v>
      </x:c>
      <x:c r="H126" s="63" t="str">
        <x:v>Knowledge quiz and scenario check</x:v>
      </x:c>
      <x:c r="I126" s="63" t="str">
        <x:v>MapAble Academy Certificate of Completion (non-accredited professional development)</x:v>
      </x:c>
      <x:c r="J126" s="63" t="str">
        <x:v>24 months; confirm through provider risk assessment</x:v>
      </x:c>
      <x:c r="K126" s="63" t="str">
        <x:v>No – unless required by employer, support plan or risk assessment</x:v>
      </x:c>
      <x:c r="L126" s="63" t="str">
        <x:v>No</x:v>
      </x:c>
      <x:c r="M126" s="63" t="str">
        <x:v>Required before publication</x:v>
      </x:c>
      <x:c r="N126" s="63" t="str">
        <x:v>Wave 3 – Specialist</x:v>
      </x:c>
      <x:c r="O126" s="63" t="str">
        <x:v>Planned</x:v>
      </x:c>
      <x:c r="P126" s="63" t="str">
        <x:v>Responsive and Culturally Safe Support</x:v>
      </x:c>
      <x:c r="Q126" s="63" t="str">
        <x:v>Individual Values and Beliefs; Cultural Safety; Responsive Support Provision</x:v>
      </x:c>
      <x:c r="R126" s="63" t="str">
        <x:v>Apply the core principles of ageing with disability within role scope, participant preferences and organisational escalation pathways.</x:v>
      </x:c>
      <x:c r="S126" s="63" t="str">
        <x:v>https://www.ndiscommission.gov.au/workforce/training-workers/guide-for-ndis-providers/training-your-workers</x:v>
      </x:c>
      <x:c r="T126" s="63" t="str">
        <x:v>Course mapping supports evidence and capability development; it does not guarantee provider compliance.</x:v>
      </x:c>
    </x:row>
    <x:row r="127">
      <x:c r="A127" s="62" t="str">
        <x:v>LIS-104</x:v>
      </x:c>
      <x:c r="B127" s="63" t="str">
        <x:v>Life Stages, Identities &amp; Specialist Contexts</x:v>
      </x:c>
      <x:c r="C127" s="63" t="str">
        <x:v>Autism-Affirming Support</x:v>
      </x:c>
      <x:c r="D127" s="63" t="str">
        <x:v>Workers and providers supporting diverse people, families and communities</x:v>
      </x:c>
      <x:c r="E127" s="63" t="str">
        <x:v>Intermediate</x:v>
      </x:c>
      <x:c r="F127" s="63" t="str">
        <x:v>Scenario-based eLearning</x:v>
      </x:c>
      <x:c r="G127" s="64" t="n">
        <x:v>50</x:v>
      </x:c>
      <x:c r="H127" s="63" t="str">
        <x:v>Knowledge quiz and scenario check</x:v>
      </x:c>
      <x:c r="I127" s="63" t="str">
        <x:v>MapAble Academy Certificate of Completion (non-accredited professional development)</x:v>
      </x:c>
      <x:c r="J127" s="63" t="str">
        <x:v>24 months; confirm through provider risk assessment</x:v>
      </x:c>
      <x:c r="K127" s="63" t="str">
        <x:v>No – unless required by employer, support plan or risk assessment</x:v>
      </x:c>
      <x:c r="L127" s="63" t="str">
        <x:v>No</x:v>
      </x:c>
      <x:c r="M127" s="63" t="str">
        <x:v>Required before publication</x:v>
      </x:c>
      <x:c r="N127" s="63" t="str">
        <x:v>Wave 3 – Specialist</x:v>
      </x:c>
      <x:c r="O127" s="63" t="str">
        <x:v>Planned</x:v>
      </x:c>
      <x:c r="P127" s="63" t="str">
        <x:v>Responsive and Culturally Safe Support</x:v>
      </x:c>
      <x:c r="Q127" s="63" t="str">
        <x:v>Individual Values and Beliefs; Cultural Safety; Responsive Support Provision</x:v>
      </x:c>
      <x:c r="R127" s="63" t="str">
        <x:v>Apply the core principles of autism-affirming support within role scope, participant preferences and organisational escalation pathways.</x:v>
      </x:c>
      <x:c r="S127" s="63" t="str">
        <x:v>https://www.ndiscommission.gov.au/workforce/training-workers/guide-for-ndis-providers/training-your-workers</x:v>
      </x:c>
      <x:c r="T127" s="63" t="str">
        <x:v>Course mapping supports evidence and capability development; it does not guarantee provider compliance.</x:v>
      </x:c>
    </x:row>
    <x:row r="128">
      <x:c r="A128" s="62" t="str">
        <x:v>LIS-105</x:v>
      </x:c>
      <x:c r="B128" s="63" t="str">
        <x:v>Life Stages, Identities &amp; Specialist Contexts</x:v>
      </x:c>
      <x:c r="C128" s="63" t="str">
        <x:v>Supporting People with Intellectual Disability</x:v>
      </x:c>
      <x:c r="D128" s="63" t="str">
        <x:v>Workers and providers supporting diverse people, families and communities</x:v>
      </x:c>
      <x:c r="E128" s="63" t="str">
        <x:v>Intermediate</x:v>
      </x:c>
      <x:c r="F128" s="63" t="str">
        <x:v>Microlearning + knowledge check</x:v>
      </x:c>
      <x:c r="G128" s="64" t="n">
        <x:v>20</x:v>
      </x:c>
      <x:c r="H128" s="63" t="str">
        <x:v>Knowledge quiz and scenario check</x:v>
      </x:c>
      <x:c r="I128" s="63" t="str">
        <x:v>MapAble Academy Certificate of Completion (non-accredited professional development)</x:v>
      </x:c>
      <x:c r="J128" s="63" t="str">
        <x:v>24 months; confirm through provider risk assessment</x:v>
      </x:c>
      <x:c r="K128" s="63" t="str">
        <x:v>No – unless required by employer, support plan or risk assessment</x:v>
      </x:c>
      <x:c r="L128" s="63" t="str">
        <x:v>No</x:v>
      </x:c>
      <x:c r="M128" s="63" t="str">
        <x:v>Required before publication</x:v>
      </x:c>
      <x:c r="N128" s="63" t="str">
        <x:v>Wave 3 – Specialist</x:v>
      </x:c>
      <x:c r="O128" s="63" t="str">
        <x:v>Planned</x:v>
      </x:c>
      <x:c r="P128" s="63" t="str">
        <x:v>Responsive and Culturally Safe Support</x:v>
      </x:c>
      <x:c r="Q128" s="63" t="str">
        <x:v>Individual Values and Beliefs; Cultural Safety; Responsive Support Provision</x:v>
      </x:c>
      <x:c r="R128" s="63" t="str">
        <x:v>Apply the core principles of supporting people with intellectual disability within role scope, participant preferences and organisational escalation pathways.</x:v>
      </x:c>
      <x:c r="S128" s="63" t="str">
        <x:v>https://www.ndiscommission.gov.au/workforce/training-workers/guide-for-ndis-providers/training-your-workers</x:v>
      </x:c>
      <x:c r="T128" s="63" t="str">
        <x:v>Course mapping supports evidence and capability development; it does not guarantee provider compliance.</x:v>
      </x:c>
    </x:row>
    <x:row r="129">
      <x:c r="A129" s="62" t="str">
        <x:v>LIS-106</x:v>
      </x:c>
      <x:c r="B129" s="63" t="str">
        <x:v>Life Stages, Identities &amp; Specialist Contexts</x:v>
      </x:c>
      <x:c r="C129" s="63" t="str">
        <x:v>Cerebral Palsy, Physical Disability and Movement Difference</x:v>
      </x:c>
      <x:c r="D129" s="63" t="str">
        <x:v>Workers and providers supporting diverse people, families and communities</x:v>
      </x:c>
      <x:c r="E129" s="63" t="str">
        <x:v>Intermediate</x:v>
      </x:c>
      <x:c r="F129" s="63" t="str">
        <x:v>Self-paced eLearning</x:v>
      </x:c>
      <x:c r="G129" s="64" t="n">
        <x:v>30</x:v>
      </x:c>
      <x:c r="H129" s="63" t="str">
        <x:v>Knowledge quiz and scenario check</x:v>
      </x:c>
      <x:c r="I129" s="63" t="str">
        <x:v>MapAble Academy Certificate of Completion (non-accredited professional development)</x:v>
      </x:c>
      <x:c r="J129" s="63" t="str">
        <x:v>24 months; confirm through provider risk assessment</x:v>
      </x:c>
      <x:c r="K129" s="63" t="str">
        <x:v>No – unless required by employer, support plan or risk assessment</x:v>
      </x:c>
      <x:c r="L129" s="63" t="str">
        <x:v>No</x:v>
      </x:c>
      <x:c r="M129" s="63" t="str">
        <x:v>Required before publication</x:v>
      </x:c>
      <x:c r="N129" s="63" t="str">
        <x:v>Wave 3 – Specialist</x:v>
      </x:c>
      <x:c r="O129" s="63" t="str">
        <x:v>Planned</x:v>
      </x:c>
      <x:c r="P129" s="63" t="str">
        <x:v>Responsive and Culturally Safe Support</x:v>
      </x:c>
      <x:c r="Q129" s="63" t="str">
        <x:v>Individual Values and Beliefs; Cultural Safety; Responsive Support Provision</x:v>
      </x:c>
      <x:c r="R129" s="63" t="str">
        <x:v>Apply the core principles of cerebral palsy, physical disability and movement difference within role scope, participant preferences and organisational escalation pathways.</x:v>
      </x:c>
      <x:c r="S129" s="63" t="str">
        <x:v>https://www.ndiscommission.gov.au/workforce/training-workers/guide-for-ndis-providers/training-your-workers</x:v>
      </x:c>
      <x:c r="T129" s="63" t="str">
        <x:v>Course mapping supports evidence and capability development; it does not guarantee provider compliance.</x:v>
      </x:c>
    </x:row>
    <x:row r="130">
      <x:c r="A130" s="62" t="str">
        <x:v>LIS-107</x:v>
      </x:c>
      <x:c r="B130" s="63" t="str">
        <x:v>Life Stages, Identities &amp; Specialist Contexts</x:v>
      </x:c>
      <x:c r="C130" s="63" t="str">
        <x:v>Acquired Brain Injury and Cognitive Change</x:v>
      </x:c>
      <x:c r="D130" s="63" t="str">
        <x:v>Workers and providers supporting diverse people, families and communities</x:v>
      </x:c>
      <x:c r="E130" s="63" t="str">
        <x:v>Intermediate</x:v>
      </x:c>
      <x:c r="F130" s="63" t="str">
        <x:v>Self-paced eLearning</x:v>
      </x:c>
      <x:c r="G130" s="64" t="n">
        <x:v>40</x:v>
      </x:c>
      <x:c r="H130" s="63" t="str">
        <x:v>Knowledge quiz and scenario check</x:v>
      </x:c>
      <x:c r="I130" s="63" t="str">
        <x:v>MapAble Academy Certificate of Completion (non-accredited professional development)</x:v>
      </x:c>
      <x:c r="J130" s="63" t="str">
        <x:v>24 months; confirm through provider risk assessment</x:v>
      </x:c>
      <x:c r="K130" s="63" t="str">
        <x:v>No – unless required by employer, support plan or risk assessment</x:v>
      </x:c>
      <x:c r="L130" s="63" t="str">
        <x:v>No</x:v>
      </x:c>
      <x:c r="M130" s="63" t="str">
        <x:v>Required before publication</x:v>
      </x:c>
      <x:c r="N130" s="63" t="str">
        <x:v>Wave 3 – Specialist</x:v>
      </x:c>
      <x:c r="O130" s="63" t="str">
        <x:v>Planned</x:v>
      </x:c>
      <x:c r="P130" s="63" t="str">
        <x:v>Responsive and Culturally Safe Support</x:v>
      </x:c>
      <x:c r="Q130" s="63" t="str">
        <x:v>Individual Values and Beliefs; Cultural Safety; Responsive Support Provision</x:v>
      </x:c>
      <x:c r="R130" s="63" t="str">
        <x:v>Apply the core principles of acquired brain injury and cognitive change within role scope, participant preferences and organisational escalation pathways.</x:v>
      </x:c>
      <x:c r="S130" s="63" t="str">
        <x:v>https://www.ndiscommission.gov.au/workforce/training-workers/guide-for-ndis-providers/training-your-workers</x:v>
      </x:c>
      <x:c r="T130" s="63" t="str">
        <x:v>Course mapping supports evidence and capability development; it does not guarantee provider compliance.</x:v>
      </x:c>
    </x:row>
    <x:row r="131">
      <x:c r="A131" s="62" t="str">
        <x:v>LIS-108</x:v>
      </x:c>
      <x:c r="B131" s="63" t="str">
        <x:v>Life Stages, Identities &amp; Specialist Contexts</x:v>
      </x:c>
      <x:c r="C131" s="63" t="str">
        <x:v>Dementia, Memory Change and Disability Support</x:v>
      </x:c>
      <x:c r="D131" s="63" t="str">
        <x:v>Workers and providers supporting diverse people, families and communities</x:v>
      </x:c>
      <x:c r="E131" s="63" t="str">
        <x:v>Advanced</x:v>
      </x:c>
      <x:c r="F131" s="63" t="str">
        <x:v>Scenario-based eLearning</x:v>
      </x:c>
      <x:c r="G131" s="64" t="n">
        <x:v>50</x:v>
      </x:c>
      <x:c r="H131" s="63" t="str">
        <x:v>Knowledge quiz and scenario check</x:v>
      </x:c>
      <x:c r="I131" s="63" t="str">
        <x:v>MapAble Academy Certificate of Completion (non-accredited professional development)</x:v>
      </x:c>
      <x:c r="J131" s="63" t="str">
        <x:v>24 months; confirm through provider risk assessment</x:v>
      </x:c>
      <x:c r="K131" s="63" t="str">
        <x:v>No – unless required by employer, support plan or risk assessment</x:v>
      </x:c>
      <x:c r="L131" s="63" t="str">
        <x:v>No</x:v>
      </x:c>
      <x:c r="M131" s="63" t="str">
        <x:v>Required before publication</x:v>
      </x:c>
      <x:c r="N131" s="63" t="str">
        <x:v>Wave 3 – Specialist</x:v>
      </x:c>
      <x:c r="O131" s="63" t="str">
        <x:v>Planned</x:v>
      </x:c>
      <x:c r="P131" s="63" t="str">
        <x:v>Responsive and Culturally Safe Support</x:v>
      </x:c>
      <x:c r="Q131" s="63" t="str">
        <x:v>Individual Values and Beliefs; Cultural Safety; Responsive Support Provision</x:v>
      </x:c>
      <x:c r="R131" s="63" t="str">
        <x:v>Apply the core principles of dementia, memory change and disability support within role scope, participant preferences and organisational escalation pathways.</x:v>
      </x:c>
      <x:c r="S131" s="63" t="str">
        <x:v>https://www.ndiscommission.gov.au/workforce/training-workers/guide-for-ndis-providers/training-your-workers</x:v>
      </x:c>
      <x:c r="T131" s="63" t="str">
        <x:v>Course mapping supports evidence and capability development; it does not guarantee provider compliance.</x:v>
      </x:c>
    </x:row>
    <x:row r="132">
      <x:c r="A132" s="62" t="str">
        <x:v>LIS-109</x:v>
      </x:c>
      <x:c r="B132" s="63" t="str">
        <x:v>Life Stages, Identities &amp; Specialist Contexts</x:v>
      </x:c>
      <x:c r="C132" s="63" t="str">
        <x:v>LGBTIQA+ Inclusive Disability Support</x:v>
      </x:c>
      <x:c r="D132" s="63" t="str">
        <x:v>Workers and providers supporting diverse people, families and communities</x:v>
      </x:c>
      <x:c r="E132" s="63" t="str">
        <x:v>Advanced</x:v>
      </x:c>
      <x:c r="F132" s="63" t="str">
        <x:v>Microlearning + knowledge check</x:v>
      </x:c>
      <x:c r="G132" s="64" t="n">
        <x:v>20</x:v>
      </x:c>
      <x:c r="H132" s="63" t="str">
        <x:v>Knowledge quiz and scenario check</x:v>
      </x:c>
      <x:c r="I132" s="63" t="str">
        <x:v>MapAble Academy Certificate of Completion (non-accredited professional development)</x:v>
      </x:c>
      <x:c r="J132" s="63" t="str">
        <x:v>24 months; confirm through provider risk assessment</x:v>
      </x:c>
      <x:c r="K132" s="63" t="str">
        <x:v>No – unless required by employer, support plan or risk assessment</x:v>
      </x:c>
      <x:c r="L132" s="63" t="str">
        <x:v>No</x:v>
      </x:c>
      <x:c r="M132" s="63" t="str">
        <x:v>Required before publication</x:v>
      </x:c>
      <x:c r="N132" s="63" t="str">
        <x:v>Wave 3 – Specialist</x:v>
      </x:c>
      <x:c r="O132" s="63" t="str">
        <x:v>Planned</x:v>
      </x:c>
      <x:c r="P132" s="63" t="str">
        <x:v>Responsive and Culturally Safe Support</x:v>
      </x:c>
      <x:c r="Q132" s="63" t="str">
        <x:v>Individual Values and Beliefs; Cultural Safety; Responsive Support Provision</x:v>
      </x:c>
      <x:c r="R132" s="63" t="str">
        <x:v>Apply the core principles of lgbtiqa+ inclusive disability support within role scope, participant preferences and organisational escalation pathways.</x:v>
      </x:c>
      <x:c r="S132" s="63" t="str">
        <x:v>https://www.ndiscommission.gov.au/workforce/training-workers/guide-for-ndis-providers/training-your-workers</x:v>
      </x:c>
      <x:c r="T132" s="63" t="str">
        <x:v>Course mapping supports evidence and capability development; it does not guarantee provider compliance.</x:v>
      </x:c>
    </x:row>
    <x:row r="133">
      <x:c r="A133" s="62" t="str">
        <x:v>LIS-110</x:v>
      </x:c>
      <x:c r="B133" s="63" t="str">
        <x:v>Life Stages, Identities &amp; Specialist Contexts</x:v>
      </x:c>
      <x:c r="C133" s="63" t="str">
        <x:v>First Nations Cultural Safety and Disability Support</x:v>
      </x:c>
      <x:c r="D133" s="63" t="str">
        <x:v>Workers and providers supporting diverse people, families and communities</x:v>
      </x:c>
      <x:c r="E133" s="63" t="str">
        <x:v>Advanced</x:v>
      </x:c>
      <x:c r="F133" s="63" t="str">
        <x:v>Self-paced eLearning</x:v>
      </x:c>
      <x:c r="G133" s="64" t="n">
        <x:v>30</x:v>
      </x:c>
      <x:c r="H133" s="63" t="str">
        <x:v>Knowledge quiz and scenario check</x:v>
      </x:c>
      <x:c r="I133" s="63" t="str">
        <x:v>MapAble Academy Certificate of Completion (non-accredited professional development)</x:v>
      </x:c>
      <x:c r="J133" s="63" t="str">
        <x:v>24 months; confirm through provider risk assessment</x:v>
      </x:c>
      <x:c r="K133" s="63" t="str">
        <x:v>No – unless required by employer, support plan or risk assessment</x:v>
      </x:c>
      <x:c r="L133" s="63" t="str">
        <x:v>No</x:v>
      </x:c>
      <x:c r="M133" s="63" t="str">
        <x:v>Required before publication</x:v>
      </x:c>
      <x:c r="N133" s="63" t="str">
        <x:v>Wave 3 – Specialist</x:v>
      </x:c>
      <x:c r="O133" s="63" t="str">
        <x:v>Planned</x:v>
      </x:c>
      <x:c r="P133" s="63" t="str">
        <x:v>Responsive and Culturally Safe Support</x:v>
      </x:c>
      <x:c r="Q133" s="63" t="str">
        <x:v>Individual Values and Beliefs; Cultural Safety; Responsive Support Provision</x:v>
      </x:c>
      <x:c r="R133" s="63" t="str">
        <x:v>Apply the core principles of first nations cultural safety and disability support within role scope, participant preferences and organisational escalation pathways.</x:v>
      </x:c>
      <x:c r="S133" s="63" t="str">
        <x:v>https://www.ndiscommission.gov.au/workforce/training-workers/guide-for-ndis-providers/training-your-workers</x:v>
      </x:c>
      <x:c r="T133" s="63" t="str">
        <x:v>Course mapping supports evidence and capability development; it does not guarantee provider compliance.</x:v>
      </x:c>
    </x:row>
    <x:row r="134">
      <x:c r="A134" s="62" t="str">
        <x:v>LIS-111</x:v>
      </x:c>
      <x:c r="B134" s="63" t="str">
        <x:v>Life Stages, Identities &amp; Specialist Contexts</x:v>
      </x:c>
      <x:c r="C134" s="63" t="str">
        <x:v>Culturally and Linguistically Diverse and Refugee Communities</x:v>
      </x:c>
      <x:c r="D134" s="63" t="str">
        <x:v>Workers and providers supporting diverse people, families and communities</x:v>
      </x:c>
      <x:c r="E134" s="63" t="str">
        <x:v>Advanced</x:v>
      </x:c>
      <x:c r="F134" s="63" t="str">
        <x:v>Self-paced eLearning</x:v>
      </x:c>
      <x:c r="G134" s="64" t="n">
        <x:v>40</x:v>
      </x:c>
      <x:c r="H134" s="63" t="str">
        <x:v>Knowledge quiz and scenario check</x:v>
      </x:c>
      <x:c r="I134" s="63" t="str">
        <x:v>MapAble Academy Certificate of Completion (non-accredited professional development)</x:v>
      </x:c>
      <x:c r="J134" s="63" t="str">
        <x:v>24 months; confirm through provider risk assessment</x:v>
      </x:c>
      <x:c r="K134" s="63" t="str">
        <x:v>No – unless required by employer, support plan or risk assessment</x:v>
      </x:c>
      <x:c r="L134" s="63" t="str">
        <x:v>No</x:v>
      </x:c>
      <x:c r="M134" s="63" t="str">
        <x:v>Required before publication</x:v>
      </x:c>
      <x:c r="N134" s="63" t="str">
        <x:v>Wave 3 – Specialist</x:v>
      </x:c>
      <x:c r="O134" s="63" t="str">
        <x:v>Planned</x:v>
      </x:c>
      <x:c r="P134" s="63" t="str">
        <x:v>Responsive and Culturally Safe Support</x:v>
      </x:c>
      <x:c r="Q134" s="63" t="str">
        <x:v>Individual Values and Beliefs; Cultural Safety; Responsive Support Provision</x:v>
      </x:c>
      <x:c r="R134" s="63" t="str">
        <x:v>Apply the core principles of culturally and linguistically diverse and refugee communities within role scope, participant preferences and organisational escalation pathways.</x:v>
      </x:c>
      <x:c r="S134" s="63" t="str">
        <x:v>https://www.ndiscommission.gov.au/workforce/training-workers/guide-for-ndis-providers/training-your-workers</x:v>
      </x:c>
      <x:c r="T134" s="63" t="str">
        <x:v>Course mapping supports evidence and capability development; it does not guarantee provider compliance.</x:v>
      </x:c>
    </x:row>
    <x:row r="135">
      <x:c r="A135" s="62" t="str">
        <x:v>LIS-112</x:v>
      </x:c>
      <x:c r="B135" s="63" t="str">
        <x:v>Life Stages, Identities &amp; Specialist Contexts</x:v>
      </x:c>
      <x:c r="C135" s="63" t="str">
        <x:v>Rural, Regional and Remote Disability Support</x:v>
      </x:c>
      <x:c r="D135" s="63" t="str">
        <x:v>Workers and providers supporting diverse people, families and communities</x:v>
      </x:c>
      <x:c r="E135" s="63" t="str">
        <x:v>Advanced</x:v>
      </x:c>
      <x:c r="F135" s="63" t="str">
        <x:v>Scenario-based eLearning</x:v>
      </x:c>
      <x:c r="G135" s="64" t="n">
        <x:v>50</x:v>
      </x:c>
      <x:c r="H135" s="63" t="str">
        <x:v>Knowledge quiz and scenario check</x:v>
      </x:c>
      <x:c r="I135" s="63" t="str">
        <x:v>MapAble Academy Certificate of Completion (non-accredited professional development)</x:v>
      </x:c>
      <x:c r="J135" s="63" t="str">
        <x:v>24 months; confirm through provider risk assessment</x:v>
      </x:c>
      <x:c r="K135" s="63" t="str">
        <x:v>No – unless required by employer, support plan or risk assessment</x:v>
      </x:c>
      <x:c r="L135" s="63" t="str">
        <x:v>No</x:v>
      </x:c>
      <x:c r="M135" s="63" t="str">
        <x:v>Required before publication</x:v>
      </x:c>
      <x:c r="N135" s="63" t="str">
        <x:v>Wave 3 – Specialist</x:v>
      </x:c>
      <x:c r="O135" s="63" t="str">
        <x:v>Planned</x:v>
      </x:c>
      <x:c r="P135" s="63" t="str">
        <x:v>Responsive and Culturally Safe Support</x:v>
      </x:c>
      <x:c r="Q135" s="63" t="str">
        <x:v>Individual Values and Beliefs; Cultural Safety; Responsive Support Provision</x:v>
      </x:c>
      <x:c r="R135" s="63" t="str">
        <x:v>Apply the core principles of rural, regional and remote disability support within role scope, participant preferences and organisational escalation pathways.</x:v>
      </x:c>
      <x:c r="S135" s="63" t="str">
        <x:v>https://www.ndiscommission.gov.au/workforce/training-workers/guide-for-ndis-providers/training-your-workers</x:v>
      </x:c>
      <x:c r="T135" s="63" t="str">
        <x:v>Course mapping supports evidence and capability development; it does not guarantee provider compliance.</x:v>
      </x:c>
    </x:row>
    <x:row r="136">
      <x:c r="A136" s="62" t="str">
        <x:v>MAA-101</x:v>
      </x:c>
      <x:c r="B136" s="63" t="str">
        <x:v>MapAble Access &amp; Inclusive Environments</x:v>
      </x:c>
      <x:c r="C136" s="63" t="str">
        <x:v>Accessibility Assessment Foundations</x:v>
      </x:c>
      <x:c r="D136" s="63" t="str">
        <x:v>Accessibility assessors, community contributors, venue operators and planners</x:v>
      </x:c>
      <x:c r="E136" s="63" t="str">
        <x:v>Foundation</x:v>
      </x:c>
      <x:c r="F136" s="63" t="str">
        <x:v>Microlearning + knowledge check</x:v>
      </x:c>
      <x:c r="G136" s="64" t="n">
        <x:v>20</x:v>
      </x:c>
      <x:c r="H136" s="63" t="str">
        <x:v>Knowledge quiz and scenario check</x:v>
      </x:c>
      <x:c r="I136" s="63" t="str">
        <x:v>MapAble Academy Certificate of Completion (non-accredited professional development)</x:v>
      </x:c>
      <x:c r="J136" s="63" t="str">
        <x:v>24 months; confirm through provider risk assessment</x:v>
      </x:c>
      <x:c r="K136" s="63" t="str">
        <x:v>No – unless required by employer, support plan or risk assessment</x:v>
      </x:c>
      <x:c r="L136" s="63" t="str">
        <x:v>No</x:v>
      </x:c>
      <x:c r="M136" s="63" t="str">
        <x:v>Required before publication</x:v>
      </x:c>
      <x:c r="N136" s="63" t="str">
        <x:v>Wave 3 – Specialist</x:v>
      </x:c>
      <x:c r="O136" s="63" t="str">
        <x:v>Planned</x:v>
      </x:c>
      <x:c r="P136" s="63" t="str">
        <x:v>MapAble Accessibility Assessor</x:v>
      </x:c>
      <x:c r="Q136" s="63" t="str">
        <x:v>Accessibility Evidence; Built Environment; Community Participation; Digital Access</x:v>
      </x:c>
      <x:c r="R136" s="63" t="str">
        <x:v>Apply the core principles of accessibility assessment foundations within role scope, participant preferences and organisational escalation pathways.</x:v>
      </x:c>
      <x:c r="S136" s="63" t="str">
        <x:v>https://www.w3.org/TR/WCAG22/</x:v>
      </x:c>
      <x:c r="T136" s="63" t="str">
        <x:v>Course mapping supports evidence and capability development; it does not guarantee provider compliance.</x:v>
      </x:c>
    </x:row>
    <x:row r="137">
      <x:c r="A137" s="62" t="str">
        <x:v>MAA-102</x:v>
      </x:c>
      <x:c r="B137" s="63" t="str">
        <x:v>MapAble Access &amp; Inclusive Environments</x:v>
      </x:c>
      <x:c r="C137" s="63" t="str">
        <x:v>Accessible Parking, Drop-Off and Arrival</x:v>
      </x:c>
      <x:c r="D137" s="63" t="str">
        <x:v>Accessibility assessors, community contributors, venue operators and planners</x:v>
      </x:c>
      <x:c r="E137" s="63" t="str">
        <x:v>Foundation</x:v>
      </x:c>
      <x:c r="F137" s="63" t="str">
        <x:v>Self-paced eLearning</x:v>
      </x:c>
      <x:c r="G137" s="64" t="n">
        <x:v>30</x:v>
      </x:c>
      <x:c r="H137" s="63" t="str">
        <x:v>Knowledge quiz and scenario check</x:v>
      </x:c>
      <x:c r="I137" s="63" t="str">
        <x:v>MapAble Academy Certificate of Completion (non-accredited professional development)</x:v>
      </x:c>
      <x:c r="J137" s="63" t="str">
        <x:v>24 months; confirm through provider risk assessment</x:v>
      </x:c>
      <x:c r="K137" s="63" t="str">
        <x:v>No – unless required by employer, support plan or risk assessment</x:v>
      </x:c>
      <x:c r="L137" s="63" t="str">
        <x:v>No</x:v>
      </x:c>
      <x:c r="M137" s="63" t="str">
        <x:v>Required before publication</x:v>
      </x:c>
      <x:c r="N137" s="63" t="str">
        <x:v>Wave 3 – Specialist</x:v>
      </x:c>
      <x:c r="O137" s="63" t="str">
        <x:v>Planned</x:v>
      </x:c>
      <x:c r="P137" s="63" t="str">
        <x:v>MapAble Accessibility Assessor</x:v>
      </x:c>
      <x:c r="Q137" s="63" t="str">
        <x:v>Accessibility Evidence; Built Environment; Community Participation; Digital Access</x:v>
      </x:c>
      <x:c r="R137" s="63" t="str">
        <x:v>Apply the core principles of accessible parking, drop-off and arrival within role scope, participant preferences and organisational escalation pathways.</x:v>
      </x:c>
      <x:c r="S137" s="63" t="str">
        <x:v>https://www.w3.org/TR/WCAG22/</x:v>
      </x:c>
      <x:c r="T137" s="63" t="str">
        <x:v>Course mapping supports evidence and capability development; it does not guarantee provider compliance.</x:v>
      </x:c>
    </x:row>
    <x:row r="138">
      <x:c r="A138" s="62" t="str">
        <x:v>MAA-103</x:v>
      </x:c>
      <x:c r="B138" s="63" t="str">
        <x:v>MapAble Access &amp; Inclusive Environments</x:v>
      </x:c>
      <x:c r="C138" s="63" t="str">
        <x:v>Paths of Travel, Entrances and Internal Circulation</x:v>
      </x:c>
      <x:c r="D138" s="63" t="str">
        <x:v>Accessibility assessors, community contributors, venue operators and planners</x:v>
      </x:c>
      <x:c r="E138" s="63" t="str">
        <x:v>Foundation</x:v>
      </x:c>
      <x:c r="F138" s="63" t="str">
        <x:v>Self-paced eLearning</x:v>
      </x:c>
      <x:c r="G138" s="64" t="n">
        <x:v>40</x:v>
      </x:c>
      <x:c r="H138" s="63" t="str">
        <x:v>Knowledge quiz and scenario check</x:v>
      </x:c>
      <x:c r="I138" s="63" t="str">
        <x:v>MapAble Academy Certificate of Completion (non-accredited professional development)</x:v>
      </x:c>
      <x:c r="J138" s="63" t="str">
        <x:v>24 months; confirm through provider risk assessment</x:v>
      </x:c>
      <x:c r="K138" s="63" t="str">
        <x:v>No – unless required by employer, support plan or risk assessment</x:v>
      </x:c>
      <x:c r="L138" s="63" t="str">
        <x:v>No</x:v>
      </x:c>
      <x:c r="M138" s="63" t="str">
        <x:v>Required before publication</x:v>
      </x:c>
      <x:c r="N138" s="63" t="str">
        <x:v>Wave 3 – Specialist</x:v>
      </x:c>
      <x:c r="O138" s="63" t="str">
        <x:v>Planned</x:v>
      </x:c>
      <x:c r="P138" s="63" t="str">
        <x:v>MapAble Accessibility Assessor</x:v>
      </x:c>
      <x:c r="Q138" s="63" t="str">
        <x:v>Accessibility Evidence; Built Environment; Community Participation; Digital Access</x:v>
      </x:c>
      <x:c r="R138" s="63" t="str">
        <x:v>Apply the core principles of paths of travel, entrances and internal circulation within role scope, participant preferences and organisational escalation pathways.</x:v>
      </x:c>
      <x:c r="S138" s="63" t="str">
        <x:v>https://www.w3.org/TR/WCAG22/</x:v>
      </x:c>
      <x:c r="T138" s="63" t="str">
        <x:v>Course mapping supports evidence and capability development; it does not guarantee provider compliance.</x:v>
      </x:c>
    </x:row>
    <x:row r="139">
      <x:c r="A139" s="62" t="str">
        <x:v>MAA-104</x:v>
      </x:c>
      <x:c r="B139" s="63" t="str">
        <x:v>MapAble Access &amp; Inclusive Environments</x:v>
      </x:c>
      <x:c r="C139" s="63" t="str">
        <x:v>Accessible Toilets, Adult Change Facilities and Amenities</x:v>
      </x:c>
      <x:c r="D139" s="63" t="str">
        <x:v>Accessibility assessors, community contributors, venue operators and planners</x:v>
      </x:c>
      <x:c r="E139" s="63" t="str">
        <x:v>Intermediate</x:v>
      </x:c>
      <x:c r="F139" s="63" t="str">
        <x:v>Scenario-based eLearning</x:v>
      </x:c>
      <x:c r="G139" s="64" t="n">
        <x:v>50</x:v>
      </x:c>
      <x:c r="H139" s="63" t="str">
        <x:v>Knowledge quiz and scenario check</x:v>
      </x:c>
      <x:c r="I139" s="63" t="str">
        <x:v>MapAble Academy Certificate of Completion (non-accredited professional development)</x:v>
      </x:c>
      <x:c r="J139" s="63" t="str">
        <x:v>24 months; confirm through provider risk assessment</x:v>
      </x:c>
      <x:c r="K139" s="63" t="str">
        <x:v>No – unless required by employer, support plan or risk assessment</x:v>
      </x:c>
      <x:c r="L139" s="63" t="str">
        <x:v>No</x:v>
      </x:c>
      <x:c r="M139" s="63" t="str">
        <x:v>Required before publication</x:v>
      </x:c>
      <x:c r="N139" s="63" t="str">
        <x:v>Wave 3 – Specialist</x:v>
      </x:c>
      <x:c r="O139" s="63" t="str">
        <x:v>Planned</x:v>
      </x:c>
      <x:c r="P139" s="63" t="str">
        <x:v>MapAble Accessibility Assessor</x:v>
      </x:c>
      <x:c r="Q139" s="63" t="str">
        <x:v>Accessibility Evidence; Built Environment; Community Participation; Digital Access</x:v>
      </x:c>
      <x:c r="R139" s="63" t="str">
        <x:v>Apply the core principles of accessible toilets, adult change facilities and amenities within role scope, participant preferences and organisational escalation pathways.</x:v>
      </x:c>
      <x:c r="S139" s="63" t="str">
        <x:v>https://www.w3.org/TR/WCAG22/</x:v>
      </x:c>
      <x:c r="T139" s="63" t="str">
        <x:v>Course mapping supports evidence and capability development; it does not guarantee provider compliance.</x:v>
      </x:c>
    </x:row>
    <x:row r="140">
      <x:c r="A140" s="62" t="str">
        <x:v>MAA-105</x:v>
      </x:c>
      <x:c r="B140" s="63" t="str">
        <x:v>MapAble Access &amp; Inclusive Environments</x:v>
      </x:c>
      <x:c r="C140" s="63" t="str">
        <x:v>Wayfinding, Lighting, Acoustics and Sensory Access</x:v>
      </x:c>
      <x:c r="D140" s="63" t="str">
        <x:v>Accessibility assessors, community contributors, venue operators and planners</x:v>
      </x:c>
      <x:c r="E140" s="63" t="str">
        <x:v>Intermediate</x:v>
      </x:c>
      <x:c r="F140" s="63" t="str">
        <x:v>Microlearning + knowledge check</x:v>
      </x:c>
      <x:c r="G140" s="64" t="n">
        <x:v>20</x:v>
      </x:c>
      <x:c r="H140" s="63" t="str">
        <x:v>Knowledge quiz and scenario check</x:v>
      </x:c>
      <x:c r="I140" s="63" t="str">
        <x:v>MapAble Academy Certificate of Completion (non-accredited professional development)</x:v>
      </x:c>
      <x:c r="J140" s="63" t="str">
        <x:v>24 months; confirm through provider risk assessment</x:v>
      </x:c>
      <x:c r="K140" s="63" t="str">
        <x:v>No – unless required by employer, support plan or risk assessment</x:v>
      </x:c>
      <x:c r="L140" s="63" t="str">
        <x:v>No</x:v>
      </x:c>
      <x:c r="M140" s="63" t="str">
        <x:v>Required before publication</x:v>
      </x:c>
      <x:c r="N140" s="63" t="str">
        <x:v>Wave 3 – Specialist</x:v>
      </x:c>
      <x:c r="O140" s="63" t="str">
        <x:v>Planned</x:v>
      </x:c>
      <x:c r="P140" s="63" t="str">
        <x:v>MapAble Accessibility Assessor</x:v>
      </x:c>
      <x:c r="Q140" s="63" t="str">
        <x:v>Accessibility Evidence; Built Environment; Community Participation; Digital Access</x:v>
      </x:c>
      <x:c r="R140" s="63" t="str">
        <x:v>Apply the core principles of wayfinding, lighting, acoustics and sensory access within role scope, participant preferences and organisational escalation pathways.</x:v>
      </x:c>
      <x:c r="S140" s="63" t="str">
        <x:v>https://www.w3.org/TR/WCAG22/</x:v>
      </x:c>
      <x:c r="T140" s="63" t="str">
        <x:v>Course mapping supports evidence and capability development; it does not guarantee provider compliance.</x:v>
      </x:c>
    </x:row>
    <x:row r="141">
      <x:c r="A141" s="62" t="str">
        <x:v>MAA-106</x:v>
      </x:c>
      <x:c r="B141" s="63" t="str">
        <x:v>MapAble Access &amp; Inclusive Environments</x:v>
      </x:c>
      <x:c r="C141" s="63" t="str">
        <x:v>Accessible Hospitality, Retail and Customer Service</x:v>
      </x:c>
      <x:c r="D141" s="63" t="str">
        <x:v>Accessibility assessors, community contributors, venue operators and planners</x:v>
      </x:c>
      <x:c r="E141" s="63" t="str">
        <x:v>Intermediate</x:v>
      </x:c>
      <x:c r="F141" s="63" t="str">
        <x:v>Self-paced eLearning</x:v>
      </x:c>
      <x:c r="G141" s="64" t="n">
        <x:v>30</x:v>
      </x:c>
      <x:c r="H141" s="63" t="str">
        <x:v>Knowledge quiz and scenario check</x:v>
      </x:c>
      <x:c r="I141" s="63" t="str">
        <x:v>MapAble Academy Certificate of Completion (non-accredited professional development)</x:v>
      </x:c>
      <x:c r="J141" s="63" t="str">
        <x:v>24 months; confirm through provider risk assessment</x:v>
      </x:c>
      <x:c r="K141" s="63" t="str">
        <x:v>No – unless required by employer, support plan or risk assessment</x:v>
      </x:c>
      <x:c r="L141" s="63" t="str">
        <x:v>No</x:v>
      </x:c>
      <x:c r="M141" s="63" t="str">
        <x:v>Required before publication</x:v>
      </x:c>
      <x:c r="N141" s="63" t="str">
        <x:v>Wave 3 – Specialist</x:v>
      </x:c>
      <x:c r="O141" s="63" t="str">
        <x:v>Planned</x:v>
      </x:c>
      <x:c r="P141" s="63" t="str">
        <x:v>MapAble Accessibility Assessor</x:v>
      </x:c>
      <x:c r="Q141" s="63" t="str">
        <x:v>Accessibility Evidence; Built Environment; Community Participation; Digital Access</x:v>
      </x:c>
      <x:c r="R141" s="63" t="str">
        <x:v>Apply the core principles of accessible hospitality, retail and customer service within role scope, participant preferences and organisational escalation pathways.</x:v>
      </x:c>
      <x:c r="S141" s="63" t="str">
        <x:v>https://www.w3.org/TR/WCAG22/</x:v>
      </x:c>
      <x:c r="T141" s="63" t="str">
        <x:v>Course mapping supports evidence and capability development; it does not guarantee provider compliance.</x:v>
      </x:c>
    </x:row>
    <x:row r="142">
      <x:c r="A142" s="62" t="str">
        <x:v>MAA-107</x:v>
      </x:c>
      <x:c r="B142" s="63" t="str">
        <x:v>MapAble Access &amp; Inclusive Environments</x:v>
      </x:c>
      <x:c r="C142" s="63" t="str">
        <x:v>Inclusive Events and Temporary Venues</x:v>
      </x:c>
      <x:c r="D142" s="63" t="str">
        <x:v>Accessibility assessors, community contributors, venue operators and planners</x:v>
      </x:c>
      <x:c r="E142" s="63" t="str">
        <x:v>Intermediate</x:v>
      </x:c>
      <x:c r="F142" s="63" t="str">
        <x:v>Self-paced eLearning</x:v>
      </x:c>
      <x:c r="G142" s="64" t="n">
        <x:v>40</x:v>
      </x:c>
      <x:c r="H142" s="63" t="str">
        <x:v>Knowledge quiz and scenario check</x:v>
      </x:c>
      <x:c r="I142" s="63" t="str">
        <x:v>MapAble Academy Certificate of Completion (non-accredited professional development)</x:v>
      </x:c>
      <x:c r="J142" s="63" t="str">
        <x:v>24 months; confirm through provider risk assessment</x:v>
      </x:c>
      <x:c r="K142" s="63" t="str">
        <x:v>No – unless required by employer, support plan or risk assessment</x:v>
      </x:c>
      <x:c r="L142" s="63" t="str">
        <x:v>No</x:v>
      </x:c>
      <x:c r="M142" s="63" t="str">
        <x:v>Required before publication</x:v>
      </x:c>
      <x:c r="N142" s="63" t="str">
        <x:v>Wave 3 – Specialist</x:v>
      </x:c>
      <x:c r="O142" s="63" t="str">
        <x:v>Planned</x:v>
      </x:c>
      <x:c r="P142" s="63" t="str">
        <x:v>MapAble Accessibility Assessor</x:v>
      </x:c>
      <x:c r="Q142" s="63" t="str">
        <x:v>Accessibility Evidence; Built Environment; Community Participation; Digital Access</x:v>
      </x:c>
      <x:c r="R142" s="63" t="str">
        <x:v>Apply the core principles of inclusive events and temporary venues within role scope, participant preferences and organisational escalation pathways.</x:v>
      </x:c>
      <x:c r="S142" s="63" t="str">
        <x:v>https://www.w3.org/TR/WCAG22/</x:v>
      </x:c>
      <x:c r="T142" s="63" t="str">
        <x:v>Course mapping supports evidence and capability development; it does not guarantee provider compliance.</x:v>
      </x:c>
    </x:row>
    <x:row r="143">
      <x:c r="A143" s="62" t="str">
        <x:v>MAA-108</x:v>
      </x:c>
      <x:c r="B143" s="63" t="str">
        <x:v>MapAble Access &amp; Inclusive Environments</x:v>
      </x:c>
      <x:c r="C143" s="63" t="str">
        <x:v>Accessible Websites and Venue Information</x:v>
      </x:c>
      <x:c r="D143" s="63" t="str">
        <x:v>Accessibility assessors, community contributors, venue operators and planners</x:v>
      </x:c>
      <x:c r="E143" s="63" t="str">
        <x:v>Advanced</x:v>
      </x:c>
      <x:c r="F143" s="63" t="str">
        <x:v>Scenario-based eLearning</x:v>
      </x:c>
      <x:c r="G143" s="64" t="n">
        <x:v>50</x:v>
      </x:c>
      <x:c r="H143" s="63" t="str">
        <x:v>Knowledge quiz and scenario check</x:v>
      </x:c>
      <x:c r="I143" s="63" t="str">
        <x:v>MapAble Academy Certificate of Completion (non-accredited professional development)</x:v>
      </x:c>
      <x:c r="J143" s="63" t="str">
        <x:v>24 months; confirm through provider risk assessment</x:v>
      </x:c>
      <x:c r="K143" s="63" t="str">
        <x:v>No – unless required by employer, support plan or risk assessment</x:v>
      </x:c>
      <x:c r="L143" s="63" t="str">
        <x:v>No</x:v>
      </x:c>
      <x:c r="M143" s="63" t="str">
        <x:v>Required before publication</x:v>
      </x:c>
      <x:c r="N143" s="63" t="str">
        <x:v>Wave 3 – Specialist</x:v>
      </x:c>
      <x:c r="O143" s="63" t="str">
        <x:v>Planned</x:v>
      </x:c>
      <x:c r="P143" s="63" t="str">
        <x:v>MapAble Accessibility Assessor</x:v>
      </x:c>
      <x:c r="Q143" s="63" t="str">
        <x:v>Accessibility Evidence; Built Environment; Community Participation; Digital Access</x:v>
      </x:c>
      <x:c r="R143" s="63" t="str">
        <x:v>Apply the core principles of accessible websites and venue information within role scope, participant preferences and organisational escalation pathways.</x:v>
      </x:c>
      <x:c r="S143" s="63" t="str">
        <x:v>https://www.w3.org/TR/WCAG22/</x:v>
      </x:c>
      <x:c r="T143" s="63" t="str">
        <x:v>Course mapping supports evidence and capability development; it does not guarantee provider compliance.</x:v>
      </x:c>
    </x:row>
    <x:row r="144">
      <x:c r="A144" s="62" t="str">
        <x:v>MAA-109</x:v>
      </x:c>
      <x:c r="B144" s="63" t="str">
        <x:v>MapAble Access &amp; Inclusive Environments</x:v>
      </x:c>
      <x:c r="C144" s="63" t="str">
        <x:v>Collecting Photos, Measurements and Accessibility Evidence</x:v>
      </x:c>
      <x:c r="D144" s="63" t="str">
        <x:v>Accessibility assessors, community contributors, venue operators and planners</x:v>
      </x:c>
      <x:c r="E144" s="63" t="str">
        <x:v>Advanced</x:v>
      </x:c>
      <x:c r="F144" s="63" t="str">
        <x:v>Microlearning + knowledge check</x:v>
      </x:c>
      <x:c r="G144" s="64" t="n">
        <x:v>20</x:v>
      </x:c>
      <x:c r="H144" s="63" t="str">
        <x:v>Knowledge quiz and scenario check</x:v>
      </x:c>
      <x:c r="I144" s="63" t="str">
        <x:v>MapAble Academy Certificate of Completion (non-accredited professional development)</x:v>
      </x:c>
      <x:c r="J144" s="63" t="str">
        <x:v>24 months; confirm through provider risk assessment</x:v>
      </x:c>
      <x:c r="K144" s="63" t="str">
        <x:v>No – unless required by employer, support plan or risk assessment</x:v>
      </x:c>
      <x:c r="L144" s="63" t="str">
        <x:v>No</x:v>
      </x:c>
      <x:c r="M144" s="63" t="str">
        <x:v>Required before publication</x:v>
      </x:c>
      <x:c r="N144" s="63" t="str">
        <x:v>Wave 3 – Specialist</x:v>
      </x:c>
      <x:c r="O144" s="63" t="str">
        <x:v>Planned</x:v>
      </x:c>
      <x:c r="P144" s="63" t="str">
        <x:v>MapAble Accessibility Assessor</x:v>
      </x:c>
      <x:c r="Q144" s="63" t="str">
        <x:v>Accessibility Evidence; Built Environment; Community Participation; Digital Access</x:v>
      </x:c>
      <x:c r="R144" s="63" t="str">
        <x:v>Apply the core principles of collecting photos, measurements and accessibility evidence within role scope, participant preferences and organisational escalation pathways.</x:v>
      </x:c>
      <x:c r="S144" s="63" t="str">
        <x:v>https://www.w3.org/TR/WCAG22/</x:v>
      </x:c>
      <x:c r="T144" s="63" t="str">
        <x:v>Course mapping supports evidence and capability development; it does not guarantee provider compliance.</x:v>
      </x:c>
    </x:row>
    <x:row r="145">
      <x:c r="A145" s="62" t="str">
        <x:v>MAA-110</x:v>
      </x:c>
      <x:c r="B145" s="63" t="str">
        <x:v>MapAble Access &amp; Inclusive Environments</x:v>
      </x:c>
      <x:c r="C145" s="63" t="str">
        <x:v>Community Reviews, Moderation and Respectful Access Reporting</x:v>
      </x:c>
      <x:c r="D145" s="63" t="str">
        <x:v>Accessibility assessors, community contributors, venue operators and planners</x:v>
      </x:c>
      <x:c r="E145" s="63" t="str">
        <x:v>Advanced</x:v>
      </x:c>
      <x:c r="F145" s="63" t="str">
        <x:v>Self-paced eLearning</x:v>
      </x:c>
      <x:c r="G145" s="64" t="n">
        <x:v>30</x:v>
      </x:c>
      <x:c r="H145" s="63" t="str">
        <x:v>Knowledge quiz and scenario check</x:v>
      </x:c>
      <x:c r="I145" s="63" t="str">
        <x:v>MapAble Academy Certificate of Completion (non-accredited professional development)</x:v>
      </x:c>
      <x:c r="J145" s="63" t="str">
        <x:v>24 months; confirm through provider risk assessment</x:v>
      </x:c>
      <x:c r="K145" s="63" t="str">
        <x:v>No – unless required by employer, support plan or risk assessment</x:v>
      </x:c>
      <x:c r="L145" s="63" t="str">
        <x:v>No</x:v>
      </x:c>
      <x:c r="M145" s="63" t="str">
        <x:v>Required before publication</x:v>
      </x:c>
      <x:c r="N145" s="63" t="str">
        <x:v>Wave 3 – Specialist</x:v>
      </x:c>
      <x:c r="O145" s="63" t="str">
        <x:v>Planned</x:v>
      </x:c>
      <x:c r="P145" s="63" t="str">
        <x:v>MapAble Accessibility Assessor</x:v>
      </x:c>
      <x:c r="Q145" s="63" t="str">
        <x:v>Accessibility Evidence; Built Environment; Community Participation; Digital Access</x:v>
      </x:c>
      <x:c r="R145" s="63" t="str">
        <x:v>Apply the core principles of community reviews, moderation and respectful access reporting within role scope, participant preferences and organisational escalation pathways.</x:v>
      </x:c>
      <x:c r="S145" s="63" t="str">
        <x:v>https://www.w3.org/TR/WCAG22/</x:v>
      </x:c>
      <x:c r="T145" s="63" t="str">
        <x:v>Course mapping supports evidence and capability development; it does not guarantee provider compliance.</x:v>
      </x:c>
    </x:row>
  </x:sheetData>
  <x:mergeCells>
    <x:mergeCell ref="A1:T1"/>
    <x:mergeCell ref="A2:T2"/>
  </x:mergeCells>
  <x:conditionalFormatting sqref="N4:N145">
    <x:cfRule type="containsText" dxfId="0" priority="1" operator="containsText" text="Wave 1"/>
    <x:cfRule type="containsText" dxfId="1" priority="2" operator="containsText" text="Wave 2"/>
    <x:cfRule type="containsText" dxfId="2" priority="3" operator="containsText" text="Wave 3"/>
  </x:conditionalFormatting>
  <x:conditionalFormatting sqref="K4:K145">
    <x:cfRule type="beginsWith" dxfId="3" priority="4" operator="beginsWith" text="Yes"/>
  </x:conditionalFormatting>
  <x:conditionalFormatting sqref="L4:L145">
    <x:cfRule type="containsText" dxfId="4" priority="5" operator="containsText" text="Yes"/>
  </x:conditionalFormatting>
  <x:dataValidations count="3">
    <x:dataValidation type="list" sqref="E4:E145">
      <x:formula1>"Foundation,Intermediate,Advanced"</x:formula1>
    </x:dataValidation>
    <x:dataValidation type="list" sqref="N4:N145">
      <x:formula1>"Wave 1 – Launch,Wave 2 – Expansion,Wave 3 – Specialist"</x:formula1>
    </x:dataValidation>
    <x:dataValidation type="list" sqref="O4:O145">
      <x:formula1>"Planned,In design,In review,Published,Retired"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7c89bee98f4c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42" hidden="0" customWidth="1"/>
    <x:col min="5" max="5" width="32" hidden="0" customWidth="1"/>
    <x:col min="6" max="6" width="52" hidden="0" customWidth="1"/>
    <x:col min="7" max="7" width="18" hidden="0" customWidth="1"/>
  </x:cols>
  <x:sheetData>
    <x:row r="1" ht="34" customHeight="1">
      <x:c r="A1" s="67" t="str">
        <x:v>Academy Schools and Learning Pathways</x:v>
      </x:c>
      <x:c r="B1" s="67" t="str">
        <x:v>Academy Schools and Learning Pathways</x:v>
      </x:c>
      <x:c r="C1" s="67" t="str">
        <x:v>Academy Schools and Learning Pathways</x:v>
      </x:c>
      <x:c r="D1" s="67" t="str">
        <x:v>Academy Schools and Learning Pathways</x:v>
      </x:c>
      <x:c r="E1" s="67" t="str">
        <x:v>Academy Schools and Learning Pathways</x:v>
      </x:c>
      <x:c r="F1" s="67" t="str">
        <x:v>Academy Schools and Learning Pathways</x:v>
      </x:c>
      <x:c r="G1" s="67" t="str">
        <x:v>Academy Schools and Learning Pathways</x:v>
      </x:c>
    </x:row>
    <x:row r="2" ht="32" customHeight="1">
      <x:c r="A2" s="68" t="str">
        <x:v>Each school may become one or more role-based pathways. Counts update from the master catalogue.</x:v>
      </x:c>
      <x:c r="B2" s="68" t="str">
        <x:v>Each school may become one or more role-based pathways. Counts update from the master catalogue.</x:v>
      </x:c>
      <x:c r="C2" s="68" t="str">
        <x:v>Each school may become one or more role-based pathways. Counts update from the master catalogue.</x:v>
      </x:c>
      <x:c r="D2" s="68" t="str">
        <x:v>Each school may become one or more role-based pathways. Counts update from the master catalogue.</x:v>
      </x:c>
      <x:c r="E2" s="68" t="str">
        <x:v>Each school may become one or more role-based pathways. Counts update from the master catalogue.</x:v>
      </x:c>
      <x:c r="F2" s="68" t="str">
        <x:v>Each school may become one or more role-based pathways. Counts update from the master catalogue.</x:v>
      </x:c>
      <x:c r="G2" s="68" t="str">
        <x:v>Each school may become one or more role-based pathways. Counts update from the master catalogue.</x:v>
      </x:c>
    </x:row>
    <x:row r="3" ht="34" customHeight="1">
      <x:c r="A3" s="69" t="str">
        <x:v>School Code</x:v>
      </x:c>
      <x:c r="B3" s="69" t="str">
        <x:v>Academy School</x:v>
      </x:c>
      <x:c r="C3" s="69" t="str">
        <x:v>Course Count</x:v>
      </x:c>
      <x:c r="D3" s="69" t="str">
        <x:v>Primary Audience</x:v>
      </x:c>
      <x:c r="E3" s="69" t="str">
        <x:v>Pathway Badge</x:v>
      </x:c>
      <x:c r="F3" s="69" t="str">
        <x:v>Purpose</x:v>
      </x:c>
      <x:c r="G3" s="69" t="str">
        <x:v>Release Priority</x:v>
      </x:c>
    </x:row>
    <x:row r="4">
      <x:c r="A4" s="65" t="str">
        <x:v>FND</x:v>
      </x:c>
      <x:c r="B4" s="65" t="str">
        <x:v>Foundations &amp; Professional Practice</x:v>
      </x:c>
      <x:c r="C4" s="66" t="n">
        <x:f>COUNTIF('Course Catalogue'!$B$4:$B$200,B4)</x:f>
        <x:v>10</x:v>
      </x:c>
      <x:c r="D4" s="65" t="str">
        <x:v>New and existing support workers; workers entering the disability sector</x:v>
      </x:c>
      <x:c r="E4" s="65" t="str">
        <x:v>MapAble Foundations</x:v>
      </x:c>
      <x:c r="F4" s="65" t="str">
        <x:v>Establishes a rights-based, safe and professional foundation for support work.</x:v>
      </x:c>
      <x:c r="G4" s="65" t="str">
        <x:v>Launch</x:v>
      </x:c>
    </x:row>
    <x:row r="5">
      <x:c r="A5" s="65" t="str">
        <x:v>RSC</x:v>
      </x:c>
      <x:c r="B5" s="65" t="str">
        <x:v>Rights, Safeguarding &amp; Choice</x:v>
      </x:c>
      <x:c r="C5" s="66" t="n">
        <x:f>COUNTIF('Course Catalogue'!$B$4:$B$200,B5)</x:f>
        <x:v>10</x:v>
      </x:c>
      <x:c r="D5" s="65" t="str">
        <x:v>All workers, supervisors, provider leaders and participant representatives</x:v>
      </x:c>
      <x:c r="E5" s="65" t="str">
        <x:v>Rights-Respecting Practice</x:v>
      </x:c>
      <x:c r="F5" s="65" t="str">
        <x:v>Turns human-rights principles into observable daily support practice.</x:v>
      </x:c>
      <x:c r="G5" s="65" t="str">
        <x:v>Launch</x:v>
      </x:c>
    </x:row>
    <x:row r="6">
      <x:c r="A6" s="65" t="str">
        <x:v>CAI</x:v>
      </x:c>
      <x:c r="B6" s="65" t="str">
        <x:v>Communication, Accessibility &amp; Inclusion</x:v>
      </x:c>
      <x:c r="C6" s="66" t="n">
        <x:f>COUNTIF('Course Catalogue'!$B$4:$B$200,B6)</x:f>
        <x:v>10</x:v>
      </x:c>
      <x:c r="D6" s="65" t="str">
        <x:v>Support workers, frontline leaders, service designers and communication partners</x:v>
      </x:c>
      <x:c r="E6" s="65" t="str">
        <x:v>Inclusive Communication</x:v>
      </x:c>
      <x:c r="F6" s="65" t="str">
        <x:v>Builds practical communication access across disability, language and sensory difference.</x:v>
      </x:c>
      <x:c r="G6" s="65" t="str">
        <x:v>Launch</x:v>
      </x:c>
    </x:row>
    <x:row r="7">
      <x:c r="A7" s="65" t="str">
        <x:v>PDL</x:v>
      </x:c>
      <x:c r="B7" s="65" t="str">
        <x:v>Personal Support, Health &amp; Daily Living</x:v>
      </x:c>
      <x:c r="C7" s="66" t="n">
        <x:f>COUNTIF('Course Catalogue'!$B$4:$B$200,B7)</x:f>
        <x:v>10</x:v>
      </x:c>
      <x:c r="D7" s="65" t="str">
        <x:v>Support workers, frontline leaders and provider practice leads</x:v>
      </x:c>
      <x:c r="E7" s="65" t="str">
        <x:v>Safe Daily Support</x:v>
      </x:c>
      <x:c r="F7" s="65" t="str">
        <x:v>Covers common daily-support risks while preserving autonomy, privacy and role boundaries.</x:v>
      </x:c>
      <x:c r="G7" s="65" t="str">
        <x:v>Launch</x:v>
      </x:c>
    </x:row>
    <x:row r="8">
      <x:c r="A8" s="65" t="str">
        <x:v>HIS</x:v>
      </x:c>
      <x:c r="B8" s="65" t="str">
        <x:v>High Intensity Support Knowledge</x:v>
      </x:c>
      <x:c r="C8" s="66" t="n">
        <x:f>COUNTIF('Course Catalogue'!$B$4:$B$200,B8)</x:f>
        <x:v>10</x:v>
      </x:c>
      <x:c r="D8" s="65" t="str">
        <x:v>Experienced workers, clinical leads, supervisors and qualified assessors</x:v>
      </x:c>
      <x:c r="E8" s="65" t="str">
        <x:v>High Intensity Knowledge Pathway</x:v>
      </x:c>
      <x:c r="F8" s="65" t="str">
        <x:v>Provides theory and risk awareness before participant-specific training and practical assessment.</x:v>
      </x:c>
      <x:c r="G8" s="65" t="str">
        <x:v>Expansion</x:v>
      </x:c>
    </x:row>
    <x:row r="9">
      <x:c r="A9" s="65" t="str">
        <x:v>BMR</x:v>
      </x:c>
      <x:c r="B9" s="65" t="str">
        <x:v>Behaviour Support, Mental Health &amp; Recovery</x:v>
      </x:c>
      <x:c r="C9" s="66" t="n">
        <x:f>COUNTIF('Course Catalogue'!$B$4:$B$200,B9)</x:f>
        <x:v>10</x:v>
      </x:c>
      <x:c r="D9" s="65" t="str">
        <x:v>Support workers, recovery coaches, behaviour support implementers and supervisors</x:v>
      </x:c>
      <x:c r="E9" s="65" t="str">
        <x:v>Recovery and Positive Support</x:v>
      </x:c>
      <x:c r="F9" s="65" t="str">
        <x:v>Promotes trauma-informed, recovery-oriented and least-restrictive support.</x:v>
      </x:c>
      <x:c r="G9" s="65" t="str">
        <x:v>Expansion</x:v>
      </x:c>
    </x:row>
    <x:row r="10">
      <x:c r="A10" s="65" t="str">
        <x:v>TMC</x:v>
      </x:c>
      <x:c r="B10" s="65" t="str">
        <x:v>Transport, Mobility &amp; Community Access</x:v>
      </x:c>
      <x:c r="C10" s="66" t="n">
        <x:f>COUNTIF('Course Catalogue'!$B$4:$B$200,B10)</x:f>
        <x:v>10</x:v>
      </x:c>
      <x:c r="D10" s="65" t="str">
        <x:v>Support workers, drivers, transport coordinators and provider managers</x:v>
      </x:c>
      <x:c r="E10" s="65" t="str">
        <x:v>Accessible Transport and Community Access</x:v>
      </x:c>
      <x:c r="F10" s="65" t="str">
        <x:v>Supports safe, accessible journeys and genuine participation in community life.</x:v>
      </x:c>
      <x:c r="G10" s="65" t="str">
        <x:v>Expansion</x:v>
      </x:c>
    </x:row>
    <x:row r="11">
      <x:c r="A11" s="65" t="str">
        <x:v>EEP</x:v>
      </x:c>
      <x:c r="B11" s="65" t="str">
        <x:v>Employment, Education &amp; Economic Participation</x:v>
      </x:c>
      <x:c r="C11" s="66" t="n">
        <x:f>COUNTIF('Course Catalogue'!$B$4:$B$200,B11)</x:f>
        <x:v>10</x:v>
      </x:c>
      <x:c r="D11" s="65" t="str">
        <x:v>Employment consultants, support workers, educators, employers and provider leaders</x:v>
      </x:c>
      <x:c r="E11" s="65" t="str">
        <x:v>Inclusive Employment Practice</x:v>
      </x:c>
      <x:c r="F11" s="65" t="str">
        <x:v>Builds capability to support meaningful education, work and economic participation.</x:v>
      </x:c>
      <x:c r="G11" s="65" t="str">
        <x:v>Expansion</x:v>
      </x:c>
    </x:row>
    <x:row r="12">
      <x:c r="A12" s="65" t="str">
        <x:v>SNP</x:v>
      </x:c>
      <x:c r="B12" s="65" t="str">
        <x:v>Support Coordination, Navigation &amp; Plan Management</x:v>
      </x:c>
      <x:c r="C12" s="66" t="n">
        <x:f>COUNTIF('Course Catalogue'!$B$4:$B$200,B12)</x:f>
        <x:v>10</x:v>
      </x:c>
      <x:c r="D12" s="65" t="str">
        <x:v>Support coordinators, recovery coaches, plan managers and provider leaders</x:v>
      </x:c>
      <x:c r="E12" s="65" t="str">
        <x:v>NDIS Navigation Practice</x:v>
      </x:c>
      <x:c r="F12" s="65" t="str">
        <x:v>Develops practical plan implementation, coordination and financial-literacy skills.</x:v>
      </x:c>
      <x:c r="G12" s="65" t="str">
        <x:v>Expansion</x:v>
      </x:c>
    </x:row>
    <x:row r="13">
      <x:c r="A13" s="65" t="str">
        <x:v>PGQ</x:v>
      </x:c>
      <x:c r="B13" s="65" t="str">
        <x:v>Provider Governance, Quality &amp; Compliance</x:v>
      </x:c>
      <x:c r="C13" s="66" t="n">
        <x:f>COUNTIF('Course Catalogue'!$B$4:$B$200,B13)</x:f>
        <x:v>10</x:v>
      </x:c>
      <x:c r="D13" s="65" t="str">
        <x:v>Boards, executives, compliance leads, quality managers and provider owners</x:v>
      </x:c>
      <x:c r="E13" s="65" t="str">
        <x:v>Provider Quality Leadership</x:v>
      </x:c>
      <x:c r="F13" s="65" t="str">
        <x:v>Connects governance decisions with participant outcomes, audit evidence and continuous improvement.</x:v>
      </x:c>
      <x:c r="G13" s="65" t="str">
        <x:v>Expansion</x:v>
      </x:c>
    </x:row>
    <x:row r="14">
      <x:c r="A14" s="65" t="str">
        <x:v>WLO</x:v>
      </x:c>
      <x:c r="B14" s="65" t="str">
        <x:v>Workforce Leadership &amp; Provider Operations</x:v>
      </x:c>
      <x:c r="C14" s="66" t="n">
        <x:f>COUNTIF('Course Catalogue'!$B$4:$B$200,B14)</x:f>
        <x:v>10</x:v>
      </x:c>
      <x:c r="D14" s="65" t="str">
        <x:v>Frontline leaders, rostering teams, HR staff, provider managers and owners</x:v>
      </x:c>
      <x:c r="E14" s="65" t="str">
        <x:v>Disability Workforce Leadership</x:v>
      </x:c>
      <x:c r="F14" s="65" t="str">
        <x:v>Strengthens supervision, workforce systems and sustainable provider operations.</x:v>
      </x:c>
      <x:c r="G14" s="65" t="str">
        <x:v>Expansion</x:v>
      </x:c>
    </x:row>
    <x:row r="15">
      <x:c r="A15" s="65" t="str">
        <x:v>DDA</x:v>
      </x:c>
      <x:c r="B15" s="65" t="str">
        <x:v>Digital Practice, Data, AI &amp; Cybersecurity</x:v>
      </x:c>
      <x:c r="C15" s="66" t="n">
        <x:f>COUNTIF('Course Catalogue'!$B$4:$B$200,B15)</x:f>
        <x:v>10</x:v>
      </x:c>
      <x:c r="D15" s="65" t="str">
        <x:v>All workers, provider leaders, digital teams and records administrators</x:v>
      </x:c>
      <x:c r="E15" s="65" t="str">
        <x:v>Responsible Digital Practice</x:v>
      </x:c>
      <x:c r="F15" s="65" t="str">
        <x:v>Builds safe, accessible and accountable use of data, digital systems and AI.</x:v>
      </x:c>
      <x:c r="G15" s="65" t="str">
        <x:v>Specialist</x:v>
      </x:c>
    </x:row>
    <x:row r="16">
      <x:c r="A16" s="65" t="str">
        <x:v>LIS</x:v>
      </x:c>
      <x:c r="B16" s="65" t="str">
        <x:v>Life Stages, Identities &amp; Specialist Contexts</x:v>
      </x:c>
      <x:c r="C16" s="66" t="n">
        <x:f>COUNTIF('Course Catalogue'!$B$4:$B$200,B16)</x:f>
        <x:v>12</x:v>
      </x:c>
      <x:c r="D16" s="65" t="str">
        <x:v>Workers and providers supporting diverse people, families and communities</x:v>
      </x:c>
      <x:c r="E16" s="65" t="str">
        <x:v>Responsive and Culturally Safe Support</x:v>
      </x:c>
      <x:c r="F16" s="65" t="str">
        <x:v>Develops responsive practice across life stages, identities, disability experiences and locations.</x:v>
      </x:c>
      <x:c r="G16" s="65" t="str">
        <x:v>Specialist</x:v>
      </x:c>
    </x:row>
    <x:row r="17">
      <x:c r="A17" s="65" t="str">
        <x:v>MAA</x:v>
      </x:c>
      <x:c r="B17" s="65" t="str">
        <x:v>MapAble Access &amp; Inclusive Environments</x:v>
      </x:c>
      <x:c r="C17" s="66" t="n">
        <x:f>COUNTIF('Course Catalogue'!$B$4:$B$200,B17)</x:f>
        <x:v>10</x:v>
      </x:c>
      <x:c r="D17" s="65" t="str">
        <x:v>Accessibility assessors, community contributors, venue operators and planners</x:v>
      </x:c>
      <x:c r="E17" s="65" t="str">
        <x:v>MapAble Accessibility Assessor</x:v>
      </x:c>
      <x:c r="F17" s="65" t="str">
        <x:v>Creates reliable, respectful and evidence-based accessibility information for communities.</x:v>
      </x:c>
      <x:c r="G17" s="65" t="str">
        <x:v>Specialist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f6ceaf173894f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40" hidden="0" customWidth="1"/>
    <x:col min="4" max="4" width="48" hidden="0" customWidth="1"/>
    <x:col min="5" max="5" width="48" hidden="0" customWidth="1"/>
    <x:col min="6" max="6" width="54" hidden="0" customWidth="1"/>
  </x:cols>
  <x:sheetData>
    <x:row r="1" ht="34" customHeight="1">
      <x:c r="A1" s="67" t="str">
        <x:v>Release Roadmap</x:v>
      </x:c>
      <x:c r="B1" s="67" t="str">
        <x:v>Release Roadmap</x:v>
      </x:c>
      <x:c r="C1" s="67" t="str">
        <x:v>Release Roadmap</x:v>
      </x:c>
      <x:c r="D1" s="67" t="str">
        <x:v>Release Roadmap</x:v>
      </x:c>
      <x:c r="E1" s="67" t="str">
        <x:v>Release Roadmap</x:v>
      </x:c>
      <x:c r="F1" s="67" t="str">
        <x:v>Release Roadmap</x:v>
      </x:c>
    </x:row>
    <x:row r="2" ht="32" customHeight="1">
      <x:c r="A2" s="68" t="str">
        <x:v>Develop content in waves so governance and accessibility quality are not sacrificed for catalogue size.</x:v>
      </x:c>
      <x:c r="B2" s="68" t="str">
        <x:v>Develop content in waves so governance and accessibility quality are not sacrificed for catalogue size.</x:v>
      </x:c>
      <x:c r="C2" s="68" t="str">
        <x:v>Develop content in waves so governance and accessibility quality are not sacrificed for catalogue size.</x:v>
      </x:c>
      <x:c r="D2" s="68" t="str">
        <x:v>Develop content in waves so governance and accessibility quality are not sacrificed for catalogue size.</x:v>
      </x:c>
      <x:c r="E2" s="68" t="str">
        <x:v>Develop content in waves so governance and accessibility quality are not sacrificed for catalogue size.</x:v>
      </x:c>
      <x:c r="F2" s="68" t="str">
        <x:v>Develop content in waves so governance and accessibility quality are not sacrificed for catalogue size.</x:v>
      </x:c>
    </x:row>
    <x:row r="3" ht="34" customHeight="1">
      <x:c r="A3" s="69" t="str">
        <x:v>Release Wave</x:v>
      </x:c>
      <x:c r="B3" s="69" t="str">
        <x:v>Courses</x:v>
      </x:c>
      <x:c r="C3" s="69" t="str">
        <x:v>Purpose</x:v>
      </x:c>
      <x:c r="D3" s="69" t="str">
        <x:v>Content Focus</x:v>
      </x:c>
      <x:c r="E3" s="69" t="str">
        <x:v>Entry Gate</x:v>
      </x:c>
      <x:c r="F3" s="69" t="str">
        <x:v>Exit Gate</x:v>
      </x:c>
    </x:row>
    <x:row r="4">
      <x:c r="A4" s="65" t="str">
        <x:v>Wave 1 – Launch</x:v>
      </x:c>
      <x:c r="B4" s="66" t="n">
        <x:f>COUNTIF('Course Catalogue'!$N$4:$N$200,A4)</x:f>
        <x:v>36</x:v>
      </x:c>
      <x:c r="C4" s="65" t="str">
        <x:v>Prove the complete learning and provider-admin vertical slice.</x:v>
      </x:c>
      <x:c r="D4" s="65" t="str">
        <x:v>Foundations, core rights, communication, daily support, transport and provider essentials.</x:v>
      </x:c>
      <x:c r="E4" s="65" t="str">
        <x:v>Approved course templates, accessibility rubric, disability-led review panel and source register.</x:v>
      </x:c>
      <x:c r="F4" s="65" t="str">
        <x:v>All launch courses published, tested and versioned; RLS, certificates and audit exports verified.</x:v>
      </x:c>
    </x:row>
    <x:row r="5">
      <x:c r="A5" s="65" t="str">
        <x:v>Wave 2 – Expansion</x:v>
      </x:c>
      <x:c r="B5" s="66" t="n">
        <x:f>COUNTIF('Course Catalogue'!$N$4:$N$200,A5)</x:f>
        <x:v>54</x:v>
      </x:c>
      <x:c r="C5" s="65" t="str">
        <x:v>Add role pathways and provider operational depth.</x:v>
      </x:c>
      <x:c r="D5" s="65" t="str">
        <x:v>Employment, support coordination, workforce leadership, behaviour support and digital practice.</x:v>
      </x:c>
      <x:c r="E5" s="65" t="str">
        <x:v>Wave 1 outcome review and learner feedback incorporated.</x:v>
      </x:c>
      <x:c r="F5" s="65" t="str">
        <x:v>Role pathways and provider dashboards operate with accurate expiry and evidence reporting.</x:v>
      </x:c>
    </x:row>
    <x:row r="6">
      <x:c r="A6" s="65" t="str">
        <x:v>Wave 3 – Specialist</x:v>
      </x:c>
      <x:c r="B6" s="66" t="n">
        <x:f>COUNTIF('Course Catalogue'!$N$4:$N$200,A6)</x:f>
        <x:v>52</x:v>
      </x:c>
      <x:c r="C6" s="65" t="str">
        <x:v>Introduce specialist, clinical-theory and accessibility-assessor pathways.</x:v>
      </x:c>
      <x:c r="D6" s="65" t="str">
        <x:v>High intensity theory, life stages, identity-responsive practice and MapAble Access assessment.</x:v>
      </x:c>
      <x:c r="E6" s="65" t="str">
        <x:v>Clinical reviewers, qualified assessors and participant-specific training controls established.</x:v>
      </x:c>
      <x:c r="F6" s="65" t="str">
        <x:v>No credential implies competency without required external assessment and participant-specific evidence.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03b3513b7bf46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38" hidden="0" customWidth="1"/>
    <x:col min="5" max="5" width="14" hidden="0" customWidth="1"/>
    <x:col min="6" max="6" width="16" hidden="0" customWidth="1"/>
    <x:col min="7" max="7" width="34" hidden="0" customWidth="1"/>
    <x:col min="8" max="8" width="42" hidden="0" customWidth="1"/>
    <x:col min="9" max="9" width="38" hidden="0" customWidth="1"/>
    <x:col min="10" max="10" width="30" hidden="0" customWidth="1"/>
    <x:col min="11" max="11" width="22" hidden="0" customWidth="1"/>
    <x:col min="12" max="12" width="40" hidden="0" customWidth="1"/>
    <x:col min="13" max="13" width="48" hidden="0" customWidth="1"/>
    <x:col min="14" max="14" width="52" hidden="0" customWidth="1"/>
    <x:col min="15" max="15" width="18" hidden="0" customWidth="1"/>
  </x:cols>
  <x:sheetData>
    <x:row r="1" ht="34" customHeight="1">
      <x:c r="A1" s="67" t="str">
        <x:v>Cursor Seed View</x:v>
      </x:c>
      <x:c r="B1" s="67" t="str">
        <x:v>Cursor Seed View</x:v>
      </x:c>
      <x:c r="C1" s="67" t="str">
        <x:v>Cursor Seed View</x:v>
      </x:c>
      <x:c r="D1" s="67" t="str">
        <x:v>Cursor Seed View</x:v>
      </x:c>
      <x:c r="E1" s="67" t="str">
        <x:v>Cursor Seed View</x:v>
      </x:c>
      <x:c r="F1" s="67" t="str">
        <x:v>Cursor Seed View</x:v>
      </x:c>
      <x:c r="G1" s="67" t="str">
        <x:v>Cursor Seed View</x:v>
      </x:c>
      <x:c r="H1" s="67" t="str">
        <x:v>Cursor Seed View</x:v>
      </x:c>
      <x:c r="I1" s="67" t="str">
        <x:v>Cursor Seed View</x:v>
      </x:c>
      <x:c r="J1" s="67" t="str">
        <x:v>Cursor Seed View</x:v>
      </x:c>
      <x:c r="K1" s="67" t="str">
        <x:v>Cursor Seed View</x:v>
      </x:c>
      <x:c r="L1" s="67" t="str">
        <x:v>Cursor Seed View</x:v>
      </x:c>
      <x:c r="M1" s="67" t="str">
        <x:v>Cursor Seed View</x:v>
      </x:c>
      <x:c r="N1" s="67" t="str">
        <x:v>Cursor Seed View</x:v>
      </x:c>
      <x:c r="O1" s="67" t="str">
        <x:v>Cursor Seed View</x:v>
      </x:c>
    </x:row>
    <x:row r="2" ht="32" customHeight="1">
      <x:c r="A2" s="68" t="str">
        <x:v>Machine-friendly projection of the catalogue. Course Catalogue remains the source of truth; this sheet is ready for schema mapping and seed generation.</x:v>
      </x:c>
      <x:c r="B2" s="68" t="str">
        <x:v>Machine-friendly projection of the catalogue. Course Catalogue remains the source of truth; this sheet is ready for schema mapping and seed generation.</x:v>
      </x:c>
      <x:c r="C2" s="68" t="str">
        <x:v>Machine-friendly projection of the catalogue. Course Catalogue remains the source of truth; this sheet is ready for schema mapping and seed generation.</x:v>
      </x:c>
      <x:c r="D2" s="68" t="str">
        <x:v>Machine-friendly projection of the catalogue. Course Catalogue remains the source of truth; this sheet is ready for schema mapping and seed generation.</x:v>
      </x:c>
      <x:c r="E2" s="68" t="str">
        <x:v>Machine-friendly projection of the catalogue. Course Catalogue remains the source of truth; this sheet is ready for schema mapping and seed generation.</x:v>
      </x:c>
      <x:c r="F2" s="68" t="str">
        <x:v>Machine-friendly projection of the catalogue. Course Catalogue remains the source of truth; this sheet is ready for schema mapping and seed generation.</x:v>
      </x:c>
      <x:c r="G2" s="68" t="str">
        <x:v>Machine-friendly projection of the catalogue. Course Catalogue remains the source of truth; this sheet is ready for schema mapping and seed generation.</x:v>
      </x:c>
      <x:c r="H2" s="68" t="str">
        <x:v>Machine-friendly projection of the catalogue. Course Catalogue remains the source of truth; this sheet is ready for schema mapping and seed generation.</x:v>
      </x:c>
      <x:c r="I2" s="68" t="str">
        <x:v>Machine-friendly projection of the catalogue. Course Catalogue remains the source of truth; this sheet is ready for schema mapping and seed generation.</x:v>
      </x:c>
      <x:c r="J2" s="68" t="str">
        <x:v>Machine-friendly projection of the catalogue. Course Catalogue remains the source of truth; this sheet is ready for schema mapping and seed generation.</x:v>
      </x:c>
      <x:c r="K2" s="68" t="str">
        <x:v>Machine-friendly projection of the catalogue. Course Catalogue remains the source of truth; this sheet is ready for schema mapping and seed generation.</x:v>
      </x:c>
      <x:c r="L2" s="68" t="str">
        <x:v>Machine-friendly projection of the catalogue. Course Catalogue remains the source of truth; this sheet is ready for schema mapping and seed generation.</x:v>
      </x:c>
      <x:c r="M2" s="68" t="str">
        <x:v>Machine-friendly projection of the catalogue. Course Catalogue remains the source of truth; this sheet is ready for schema mapping and seed generation.</x:v>
      </x:c>
      <x:c r="N2" s="68" t="str">
        <x:v>Machine-friendly projection of the catalogue. Course Catalogue remains the source of truth; this sheet is ready for schema mapping and seed generation.</x:v>
      </x:c>
      <x:c r="O2" s="68" t="str">
        <x:v>Machine-friendly projection of the catalogue. Course Catalogue remains the source of truth; this sheet is ready for schema mapping and seed generation.</x:v>
      </x:c>
    </x:row>
    <x:row r="3" ht="34" customHeight="1">
      <x:c r="A3" s="69" t="str">
        <x:v>courseCode</x:v>
      </x:c>
      <x:c r="B3" s="69" t="str">
        <x:v>schoolCode</x:v>
      </x:c>
      <x:c r="C3" s="69" t="str">
        <x:v>title</x:v>
      </x:c>
      <x:c r="D3" s="69" t="str">
        <x:v>audience</x:v>
      </x:c>
      <x:c r="E3" s="69" t="str">
        <x:v>level</x:v>
      </x:c>
      <x:c r="F3" s="69" t="str">
        <x:v>durationMinutes</x:v>
      </x:c>
      <x:c r="G3" s="69" t="str">
        <x:v>deliveryFormat</x:v>
      </x:c>
      <x:c r="H3" s="69" t="str">
        <x:v>assessmentType</x:v>
      </x:c>
      <x:c r="I3" s="69" t="str">
        <x:v>credentialType</x:v>
      </x:c>
      <x:c r="J3" s="69" t="str">
        <x:v>reviewCycle</x:v>
      </x:c>
      <x:c r="K3" s="69" t="str">
        <x:v>releaseWave</x:v>
      </x:c>
      <x:c r="L3" s="69" t="str">
        <x:v>ndisTags</x:v>
      </x:c>
      <x:c r="M3" s="69" t="str">
        <x:v>sourceUrl</x:v>
      </x:c>
      <x:c r="N3" s="69" t="str">
        <x:v>disclaimer</x:v>
      </x:c>
      <x:c r="O3" s="69" t="str">
        <x:v>publicationStatus</x:v>
      </x:c>
    </x:row>
    <x:row r="4">
      <x:c r="A4" s="65" t="str">
        <x:f>'Course Catalogue'!A4</x:f>
        <x:v>FND-101</x:v>
      </x:c>
      <x:c r="B4" s="65" t="str">
        <x:f>LEFT('Course Catalogue'!A4,3)</x:f>
        <x:v>FND</x:v>
      </x:c>
      <x:c r="C4" s="65" t="str">
        <x:f>'Course Catalogue'!C4</x:f>
        <x:v>Welcome to the Disability Sector</x:v>
      </x:c>
      <x:c r="D4" s="65" t="str">
        <x:f>'Course Catalogue'!D4</x:f>
        <x:v>New and existing support workers; workers entering the disability sector</x:v>
      </x:c>
      <x:c r="E4" s="65" t="str">
        <x:f>'Course Catalogue'!E4</x:f>
        <x:v>Foundation</x:v>
      </x:c>
      <x:c r="F4" s="65" t="n">
        <x:f>'Course Catalogue'!G4</x:f>
        <x:v>20</x:v>
      </x:c>
      <x:c r="G4" s="65" t="str">
        <x:f>'Course Catalogue'!F4</x:f>
        <x:v>Microlearning + knowledge check</x:v>
      </x:c>
      <x:c r="H4" s="65" t="str">
        <x:f>'Course Catalogue'!H4</x:f>
        <x:v>Knowledge quiz and scenario check</x:v>
      </x:c>
      <x:c r="I4" s="65" t="str">
        <x:f>'Course Catalogue'!I4</x:f>
        <x:v>MapAble Academy Certificate of Completion (non-accredited professional development)</x:v>
      </x:c>
      <x:c r="J4" s="65" t="str">
        <x:f>'Course Catalogue'!J4</x:f>
        <x:v>24 months; confirm through provider risk assessment</x:v>
      </x:c>
      <x:c r="K4" s="65" t="str">
        <x:f>'Course Catalogue'!N4</x:f>
        <x:v>Wave 1 – Launch</x:v>
      </x:c>
      <x:c r="L4" s="65" t="str">
        <x:f>'Course Catalogue'!Q4</x:f>
        <x:v>Code of Conduct; Core Module; Workforce Capability Framework</x:v>
      </x:c>
      <x:c r="M4" s="65" t="str">
        <x:f>'Course Catalogue'!S4</x:f>
        <x:v>https://www.ndiscommission.gov.au/workforce/training-workers/guide-for-ndis-providers/training-your-workers</x:v>
      </x:c>
      <x:c r="N4" s="65" t="str">
        <x:f>'Course Catalogue'!T4</x:f>
        <x:v>Course mapping supports evidence and capability development; it does not guarantee provider compliance.</x:v>
      </x:c>
      <x:c r="O4" s="65" t="str">
        <x:f>'Course Catalogue'!O4</x:f>
        <x:v>Planned</x:v>
      </x:c>
    </x:row>
    <x:row r="5">
      <x:c r="A5" s="65" t="str">
        <x:f>'Course Catalogue'!A5</x:f>
        <x:v>FND-102</x:v>
      </x:c>
      <x:c r="B5" s="65" t="str">
        <x:f>LEFT('Course Catalogue'!A5,3)</x:f>
        <x:v>FND</x:v>
      </x:c>
      <x:c r="C5" s="65" t="str">
        <x:f>'Course Catalogue'!C5</x:f>
        <x:v>NDIS Essentials for Support Workers</x:v>
      </x:c>
      <x:c r="D5" s="65" t="str">
        <x:f>'Course Catalogue'!D5</x:f>
        <x:v>New and existing support workers; workers entering the disability sector</x:v>
      </x:c>
      <x:c r="E5" s="65" t="str">
        <x:f>'Course Catalogue'!E5</x:f>
        <x:v>Foundation</x:v>
      </x:c>
      <x:c r="F5" s="65" t="n">
        <x:f>'Course Catalogue'!G5</x:f>
        <x:v>30</x:v>
      </x:c>
      <x:c r="G5" s="65" t="str">
        <x:f>'Course Catalogue'!F5</x:f>
        <x:v>Self-paced eLearning</x:v>
      </x:c>
      <x:c r="H5" s="65" t="str">
        <x:f>'Course Catalogue'!H5</x:f>
        <x:v>Knowledge quiz and scenario check</x:v>
      </x:c>
      <x:c r="I5" s="65" t="str">
        <x:f>'Course Catalogue'!I5</x:f>
        <x:v>MapAble Academy Certificate of Completion (non-accredited professional development)</x:v>
      </x:c>
      <x:c r="J5" s="65" t="str">
        <x:f>'Course Catalogue'!J5</x:f>
        <x:v>24 months; confirm through provider risk assessment</x:v>
      </x:c>
      <x:c r="K5" s="65" t="str">
        <x:f>'Course Catalogue'!N5</x:f>
        <x:v>Wave 1 – Launch</x:v>
      </x:c>
      <x:c r="L5" s="65" t="str">
        <x:f>'Course Catalogue'!Q5</x:f>
        <x:v>Code of Conduct; Core Module; Workforce Capability Framework</x:v>
      </x:c>
      <x:c r="M5" s="65" t="str">
        <x:f>'Course Catalogue'!S5</x:f>
        <x:v>https://www.ndiscommission.gov.au/workforce/training-workers/guide-for-ndis-providers/training-your-workers</x:v>
      </x:c>
      <x:c r="N5" s="65" t="str">
        <x:f>'Course Catalogue'!T5</x:f>
        <x:v>Course mapping supports evidence and capability development; it does not guarantee provider compliance.</x:v>
      </x:c>
      <x:c r="O5" s="65" t="str">
        <x:f>'Course Catalogue'!O5</x:f>
        <x:v>Planned</x:v>
      </x:c>
    </x:row>
    <x:row r="6">
      <x:c r="A6" s="65" t="str">
        <x:f>'Course Catalogue'!A6</x:f>
        <x:v>FND-103</x:v>
      </x:c>
      <x:c r="B6" s="65" t="str">
        <x:f>LEFT('Course Catalogue'!A6,3)</x:f>
        <x:v>FND</x:v>
      </x:c>
      <x:c r="C6" s="65" t="str">
        <x:f>'Course Catalogue'!C6</x:f>
        <x:v>NDIS Essentials for Managers</x:v>
      </x:c>
      <x:c r="D6" s="65" t="str">
        <x:f>'Course Catalogue'!D6</x:f>
        <x:v>New and existing support workers; workers entering the disability sector</x:v>
      </x:c>
      <x:c r="E6" s="65" t="str">
        <x:f>'Course Catalogue'!E6</x:f>
        <x:v>Foundation</x:v>
      </x:c>
      <x:c r="F6" s="65" t="n">
        <x:f>'Course Catalogue'!G6</x:f>
        <x:v>40</x:v>
      </x:c>
      <x:c r="G6" s="65" t="str">
        <x:f>'Course Catalogue'!F6</x:f>
        <x:v>Self-paced eLearning</x:v>
      </x:c>
      <x:c r="H6" s="65" t="str">
        <x:f>'Course Catalogue'!H6</x:f>
        <x:v>Knowledge quiz and scenario check</x:v>
      </x:c>
      <x:c r="I6" s="65" t="str">
        <x:f>'Course Catalogue'!I6</x:f>
        <x:v>MapAble Academy Certificate of Completion (non-accredited professional development)</x:v>
      </x:c>
      <x:c r="J6" s="65" t="str">
        <x:f>'Course Catalogue'!J6</x:f>
        <x:v>24 months; confirm through provider risk assessment</x:v>
      </x:c>
      <x:c r="K6" s="65" t="str">
        <x:f>'Course Catalogue'!N6</x:f>
        <x:v>Wave 1 – Launch</x:v>
      </x:c>
      <x:c r="L6" s="65" t="str">
        <x:f>'Course Catalogue'!Q6</x:f>
        <x:v>Code of Conduct; Core Module; Workforce Capability Framework</x:v>
      </x:c>
      <x:c r="M6" s="65" t="str">
        <x:f>'Course Catalogue'!S6</x:f>
        <x:v>https://www.ndiscommission.gov.au/workforce/training-workers/guide-for-ndis-providers/training-your-workers</x:v>
      </x:c>
      <x:c r="N6" s="65" t="str">
        <x:f>'Course Catalogue'!T6</x:f>
        <x:v>Course mapping supports evidence and capability development; it does not guarantee provider compliance.</x:v>
      </x:c>
      <x:c r="O6" s="65" t="str">
        <x:f>'Course Catalogue'!O6</x:f>
        <x:v>Planned</x:v>
      </x:c>
    </x:row>
    <x:row r="7">
      <x:c r="A7" s="65" t="str">
        <x:f>'Course Catalogue'!A7</x:f>
        <x:v>FND-104</x:v>
      </x:c>
      <x:c r="B7" s="65" t="str">
        <x:f>LEFT('Course Catalogue'!A7,3)</x:f>
        <x:v>FND</x:v>
      </x:c>
      <x:c r="C7" s="65" t="str">
        <x:f>'Course Catalogue'!C7</x:f>
        <x:v>The NDIS Code of Conduct in Practice</x:v>
      </x:c>
      <x:c r="D7" s="65" t="str">
        <x:f>'Course Catalogue'!D7</x:f>
        <x:v>New and existing support workers; workers entering the disability sector</x:v>
      </x:c>
      <x:c r="E7" s="65" t="str">
        <x:f>'Course Catalogue'!E7</x:f>
        <x:v>Intermediate</x:v>
      </x:c>
      <x:c r="F7" s="65" t="n">
        <x:f>'Course Catalogue'!G7</x:f>
        <x:v>50</x:v>
      </x:c>
      <x:c r="G7" s="65" t="str">
        <x:f>'Course Catalogue'!F7</x:f>
        <x:v>Scenario-based eLearning</x:v>
      </x:c>
      <x:c r="H7" s="65" t="str">
        <x:f>'Course Catalogue'!H7</x:f>
        <x:v>Knowledge quiz and scenario check</x:v>
      </x:c>
      <x:c r="I7" s="65" t="str">
        <x:f>'Course Catalogue'!I7</x:f>
        <x:v>MapAble Academy Certificate of Completion (non-accredited professional development)</x:v>
      </x:c>
      <x:c r="J7" s="65" t="str">
        <x:f>'Course Catalogue'!J7</x:f>
        <x:v>24 months; confirm through provider risk assessment</x:v>
      </x:c>
      <x:c r="K7" s="65" t="str">
        <x:f>'Course Catalogue'!N7</x:f>
        <x:v>Wave 1 – Launch</x:v>
      </x:c>
      <x:c r="L7" s="65" t="str">
        <x:f>'Course Catalogue'!Q7</x:f>
        <x:v>Code of Conduct; Core Module; Workforce Capability Framework</x:v>
      </x:c>
      <x:c r="M7" s="65" t="str">
        <x:f>'Course Catalogue'!S7</x:f>
        <x:v>https://www.ndiscommission.gov.au/workforce/training-workers/guide-for-ndis-providers/training-your-workers</x:v>
      </x:c>
      <x:c r="N7" s="65" t="str">
        <x:f>'Course Catalogue'!T7</x:f>
        <x:v>Course mapping supports evidence and capability development; it does not guarantee provider compliance.</x:v>
      </x:c>
      <x:c r="O7" s="65" t="str">
        <x:f>'Course Catalogue'!O7</x:f>
        <x:v>Planned</x:v>
      </x:c>
    </x:row>
    <x:row r="8">
      <x:c r="A8" s="65" t="str">
        <x:f>'Course Catalogue'!A8</x:f>
        <x:v>FND-105</x:v>
      </x:c>
      <x:c r="B8" s="65" t="str">
        <x:f>LEFT('Course Catalogue'!A8,3)</x:f>
        <x:v>FND</x:v>
      </x:c>
      <x:c r="C8" s="65" t="str">
        <x:f>'Course Catalogue'!C8</x:f>
        <x:v>The Support Worker Role, Scope and Accountability</x:v>
      </x:c>
      <x:c r="D8" s="65" t="str">
        <x:f>'Course Catalogue'!D8</x:f>
        <x:v>New and existing support workers; workers entering the disability sector</x:v>
      </x:c>
      <x:c r="E8" s="65" t="str">
        <x:f>'Course Catalogue'!E8</x:f>
        <x:v>Intermediate</x:v>
      </x:c>
      <x:c r="F8" s="65" t="n">
        <x:f>'Course Catalogue'!G8</x:f>
        <x:v>20</x:v>
      </x:c>
      <x:c r="G8" s="65" t="str">
        <x:f>'Course Catalogue'!F8</x:f>
        <x:v>Microlearning + knowledge check</x:v>
      </x:c>
      <x:c r="H8" s="65" t="str">
        <x:f>'Course Catalogue'!H8</x:f>
        <x:v>Knowledge quiz and scenario check</x:v>
      </x:c>
      <x:c r="I8" s="65" t="str">
        <x:f>'Course Catalogue'!I8</x:f>
        <x:v>MapAble Academy Certificate of Completion (non-accredited professional development)</x:v>
      </x:c>
      <x:c r="J8" s="65" t="str">
        <x:f>'Course Catalogue'!J8</x:f>
        <x:v>24 months; confirm through provider risk assessment</x:v>
      </x:c>
      <x:c r="K8" s="65" t="str">
        <x:f>'Course Catalogue'!N8</x:f>
        <x:v>Wave 1 – Launch</x:v>
      </x:c>
      <x:c r="L8" s="65" t="str">
        <x:f>'Course Catalogue'!Q8</x:f>
        <x:v>Code of Conduct; Core Module; Workforce Capability Framework</x:v>
      </x:c>
      <x:c r="M8" s="65" t="str">
        <x:f>'Course Catalogue'!S8</x:f>
        <x:v>https://www.ndiscommission.gov.au/workforce/training-workers/guide-for-ndis-providers/training-your-workers</x:v>
      </x:c>
      <x:c r="N8" s="65" t="str">
        <x:f>'Course Catalogue'!T8</x:f>
        <x:v>Course mapping supports evidence and capability development; it does not guarantee provider compliance.</x:v>
      </x:c>
      <x:c r="O8" s="65" t="str">
        <x:f>'Course Catalogue'!O8</x:f>
        <x:v>Planned</x:v>
      </x:c>
    </x:row>
    <x:row r="9">
      <x:c r="A9" s="65" t="str">
        <x:f>'Course Catalogue'!A9</x:f>
        <x:v>FND-106</x:v>
      </x:c>
      <x:c r="B9" s="65" t="str">
        <x:f>LEFT('Course Catalogue'!A9,3)</x:f>
        <x:v>FND</x:v>
      </x:c>
      <x:c r="C9" s="65" t="str">
        <x:f>'Course Catalogue'!C9</x:f>
        <x:v>Person-Centred Active Support</x:v>
      </x:c>
      <x:c r="D9" s="65" t="str">
        <x:f>'Course Catalogue'!D9</x:f>
        <x:v>New and existing support workers; workers entering the disability sector</x:v>
      </x:c>
      <x:c r="E9" s="65" t="str">
        <x:f>'Course Catalogue'!E9</x:f>
        <x:v>Intermediate</x:v>
      </x:c>
      <x:c r="F9" s="65" t="n">
        <x:f>'Course Catalogue'!G9</x:f>
        <x:v>30</x:v>
      </x:c>
      <x:c r="G9" s="65" t="str">
        <x:f>'Course Catalogue'!F9</x:f>
        <x:v>Self-paced eLearning</x:v>
      </x:c>
      <x:c r="H9" s="65" t="str">
        <x:f>'Course Catalogue'!H9</x:f>
        <x:v>Knowledge quiz and scenario check</x:v>
      </x:c>
      <x:c r="I9" s="65" t="str">
        <x:f>'Course Catalogue'!I9</x:f>
        <x:v>MapAble Academy Certificate of Completion (non-accredited professional development)</x:v>
      </x:c>
      <x:c r="J9" s="65" t="str">
        <x:f>'Course Catalogue'!J9</x:f>
        <x:v>24 months; confirm through provider risk assessment</x:v>
      </x:c>
      <x:c r="K9" s="65" t="str">
        <x:f>'Course Catalogue'!N9</x:f>
        <x:v>Wave 1 – Launch</x:v>
      </x:c>
      <x:c r="L9" s="65" t="str">
        <x:f>'Course Catalogue'!Q9</x:f>
        <x:v>Code of Conduct; Core Module; Workforce Capability Framework</x:v>
      </x:c>
      <x:c r="M9" s="65" t="str">
        <x:f>'Course Catalogue'!S9</x:f>
        <x:v>https://www.ndiscommission.gov.au/workforce/training-workers/guide-for-ndis-providers/training-your-workers</x:v>
      </x:c>
      <x:c r="N9" s="65" t="str">
        <x:f>'Course Catalogue'!T9</x:f>
        <x:v>Course mapping supports evidence and capability development; it does not guarantee provider compliance.</x:v>
      </x:c>
      <x:c r="O9" s="65" t="str">
        <x:f>'Course Catalogue'!O9</x:f>
        <x:v>Planned</x:v>
      </x:c>
    </x:row>
    <x:row r="10">
      <x:c r="A10" s="65" t="str">
        <x:f>'Course Catalogue'!A10</x:f>
        <x:v>FND-107</x:v>
      </x:c>
      <x:c r="B10" s="65" t="str">
        <x:f>LEFT('Course Catalogue'!A10,3)</x:f>
        <x:v>FND</x:v>
      </x:c>
      <x:c r="C10" s="65" t="str">
        <x:f>'Course Catalogue'!C10</x:f>
        <x:v>Professional Boundaries and Conflicts of Interest</x:v>
      </x:c>
      <x:c r="D10" s="65" t="str">
        <x:f>'Course Catalogue'!D10</x:f>
        <x:v>New and existing support workers; workers entering the disability sector</x:v>
      </x:c>
      <x:c r="E10" s="65" t="str">
        <x:f>'Course Catalogue'!E10</x:f>
        <x:v>Intermediate</x:v>
      </x:c>
      <x:c r="F10" s="65" t="n">
        <x:f>'Course Catalogue'!G10</x:f>
        <x:v>40</x:v>
      </x:c>
      <x:c r="G10" s="65" t="str">
        <x:f>'Course Catalogue'!F10</x:f>
        <x:v>Self-paced eLearning</x:v>
      </x:c>
      <x:c r="H10" s="65" t="str">
        <x:f>'Course Catalogue'!H10</x:f>
        <x:v>Knowledge quiz and scenario check</x:v>
      </x:c>
      <x:c r="I10" s="65" t="str">
        <x:f>'Course Catalogue'!I10</x:f>
        <x:v>MapAble Academy Certificate of Completion (non-accredited professional development)</x:v>
      </x:c>
      <x:c r="J10" s="65" t="str">
        <x:f>'Course Catalogue'!J10</x:f>
        <x:v>24 months; confirm through provider risk assessment</x:v>
      </x:c>
      <x:c r="K10" s="65" t="str">
        <x:f>'Course Catalogue'!N10</x:f>
        <x:v>Wave 1 – Launch</x:v>
      </x:c>
      <x:c r="L10" s="65" t="str">
        <x:f>'Course Catalogue'!Q10</x:f>
        <x:v>Code of Conduct; Core Module; Workforce Capability Framework</x:v>
      </x:c>
      <x:c r="M10" s="65" t="str">
        <x:f>'Course Catalogue'!S10</x:f>
        <x:v>https://www.ndiscommission.gov.au/workforce/training-workers/guide-for-ndis-providers/training-your-workers</x:v>
      </x:c>
      <x:c r="N10" s="65" t="str">
        <x:f>'Course Catalogue'!T10</x:f>
        <x:v>Course mapping supports evidence and capability development; it does not guarantee provider compliance.</x:v>
      </x:c>
      <x:c r="O10" s="65" t="str">
        <x:f>'Course Catalogue'!O10</x:f>
        <x:v>Planned</x:v>
      </x:c>
    </x:row>
    <x:row r="11">
      <x:c r="A11" s="65" t="str">
        <x:f>'Course Catalogue'!A11</x:f>
        <x:v>FND-108</x:v>
      </x:c>
      <x:c r="B11" s="65" t="str">
        <x:f>LEFT('Course Catalogue'!A11,3)</x:f>
        <x:v>FND</x:v>
      </x:c>
      <x:c r="C11" s="65" t="str">
        <x:f>'Course Catalogue'!C11</x:f>
        <x:v>Respectful Shift Notes and Record-Keeping</x:v>
      </x:c>
      <x:c r="D11" s="65" t="str">
        <x:f>'Course Catalogue'!D11</x:f>
        <x:v>New and existing support workers; workers entering the disability sector</x:v>
      </x:c>
      <x:c r="E11" s="65" t="str">
        <x:f>'Course Catalogue'!E11</x:f>
        <x:v>Advanced</x:v>
      </x:c>
      <x:c r="F11" s="65" t="n">
        <x:f>'Course Catalogue'!G11</x:f>
        <x:v>50</x:v>
      </x:c>
      <x:c r="G11" s="65" t="str">
        <x:f>'Course Catalogue'!F11</x:f>
        <x:v>Scenario-based eLearning</x:v>
      </x:c>
      <x:c r="H11" s="65" t="str">
        <x:f>'Course Catalogue'!H11</x:f>
        <x:v>Knowledge quiz and scenario check</x:v>
      </x:c>
      <x:c r="I11" s="65" t="str">
        <x:f>'Course Catalogue'!I11</x:f>
        <x:v>MapAble Academy Certificate of Completion (non-accredited professional development)</x:v>
      </x:c>
      <x:c r="J11" s="65" t="str">
        <x:f>'Course Catalogue'!J11</x:f>
        <x:v>24 months; confirm through provider risk assessment</x:v>
      </x:c>
      <x:c r="K11" s="65" t="str">
        <x:f>'Course Catalogue'!N11</x:f>
        <x:v>Wave 1 – Launch</x:v>
      </x:c>
      <x:c r="L11" s="65" t="str">
        <x:f>'Course Catalogue'!Q11</x:f>
        <x:v>Code of Conduct; Core Module; Workforce Capability Framework</x:v>
      </x:c>
      <x:c r="M11" s="65" t="str">
        <x:f>'Course Catalogue'!S11</x:f>
        <x:v>https://www.ndiscommission.gov.au/workforce/training-workers/guide-for-ndis-providers/training-your-workers</x:v>
      </x:c>
      <x:c r="N11" s="65" t="str">
        <x:f>'Course Catalogue'!T11</x:f>
        <x:v>Course mapping supports evidence and capability development; it does not guarantee provider compliance.</x:v>
      </x:c>
      <x:c r="O11" s="65" t="str">
        <x:f>'Course Catalogue'!O11</x:f>
        <x:v>Planned</x:v>
      </x:c>
    </x:row>
    <x:row r="12">
      <x:c r="A12" s="65" t="str">
        <x:f>'Course Catalogue'!A12</x:f>
        <x:v>FND-109</x:v>
      </x:c>
      <x:c r="B12" s="65" t="str">
        <x:f>LEFT('Course Catalogue'!A12,3)</x:f>
        <x:v>FND</x:v>
      </x:c>
      <x:c r="C12" s="65" t="str">
        <x:f>'Course Catalogue'!C12</x:f>
        <x:v>Working in the Team Around the Person</x:v>
      </x:c>
      <x:c r="D12" s="65" t="str">
        <x:f>'Course Catalogue'!D12</x:f>
        <x:v>New and existing support workers; workers entering the disability sector</x:v>
      </x:c>
      <x:c r="E12" s="65" t="str">
        <x:f>'Course Catalogue'!E12</x:f>
        <x:v>Advanced</x:v>
      </x:c>
      <x:c r="F12" s="65" t="n">
        <x:f>'Course Catalogue'!G12</x:f>
        <x:v>20</x:v>
      </x:c>
      <x:c r="G12" s="65" t="str">
        <x:f>'Course Catalogue'!F12</x:f>
        <x:v>Microlearning + knowledge check</x:v>
      </x:c>
      <x:c r="H12" s="65" t="str">
        <x:f>'Course Catalogue'!H12</x:f>
        <x:v>Knowledge quiz and scenario check</x:v>
      </x:c>
      <x:c r="I12" s="65" t="str">
        <x:f>'Course Catalogue'!I12</x:f>
        <x:v>MapAble Academy Certificate of Completion (non-accredited professional development)</x:v>
      </x:c>
      <x:c r="J12" s="65" t="str">
        <x:f>'Course Catalogue'!J12</x:f>
        <x:v>24 months; confirm through provider risk assessment</x:v>
      </x:c>
      <x:c r="K12" s="65" t="str">
        <x:f>'Course Catalogue'!N12</x:f>
        <x:v>Wave 1 – Launch</x:v>
      </x:c>
      <x:c r="L12" s="65" t="str">
        <x:f>'Course Catalogue'!Q12</x:f>
        <x:v>Code of Conduct; Core Module; Workforce Capability Framework</x:v>
      </x:c>
      <x:c r="M12" s="65" t="str">
        <x:f>'Course Catalogue'!S12</x:f>
        <x:v>https://www.ndiscommission.gov.au/workforce/training-workers/guide-for-ndis-providers/training-your-workers</x:v>
      </x:c>
      <x:c r="N12" s="65" t="str">
        <x:f>'Course Catalogue'!T12</x:f>
        <x:v>Course mapping supports evidence and capability development; it does not guarantee provider compliance.</x:v>
      </x:c>
      <x:c r="O12" s="65" t="str">
        <x:f>'Course Catalogue'!O12</x:f>
        <x:v>Planned</x:v>
      </x:c>
    </x:row>
    <x:row r="13">
      <x:c r="A13" s="65" t="str">
        <x:f>'Course Catalogue'!A13</x:f>
        <x:v>FND-110</x:v>
      </x:c>
      <x:c r="B13" s="65" t="str">
        <x:f>LEFT('Course Catalogue'!A13,3)</x:f>
        <x:v>FND</x:v>
      </x:c>
      <x:c r="C13" s="65" t="str">
        <x:f>'Course Catalogue'!C13</x:f>
        <x:v>Reflective Practice, Supervision and Continuous Learning</x:v>
      </x:c>
      <x:c r="D13" s="65" t="str">
        <x:f>'Course Catalogue'!D13</x:f>
        <x:v>New and existing support workers; workers entering the disability sector</x:v>
      </x:c>
      <x:c r="E13" s="65" t="str">
        <x:f>'Course Catalogue'!E13</x:f>
        <x:v>Advanced</x:v>
      </x:c>
      <x:c r="F13" s="65" t="n">
        <x:f>'Course Catalogue'!G13</x:f>
        <x:v>30</x:v>
      </x:c>
      <x:c r="G13" s="65" t="str">
        <x:f>'Course Catalogue'!F13</x:f>
        <x:v>Self-paced eLearning</x:v>
      </x:c>
      <x:c r="H13" s="65" t="str">
        <x:f>'Course Catalogue'!H13</x:f>
        <x:v>Knowledge quiz and scenario check</x:v>
      </x:c>
      <x:c r="I13" s="65" t="str">
        <x:f>'Course Catalogue'!I13</x:f>
        <x:v>MapAble Academy Certificate of Completion (non-accredited professional development)</x:v>
      </x:c>
      <x:c r="J13" s="65" t="str">
        <x:f>'Course Catalogue'!J13</x:f>
        <x:v>24 months; confirm through provider risk assessment</x:v>
      </x:c>
      <x:c r="K13" s="65" t="str">
        <x:f>'Course Catalogue'!N13</x:f>
        <x:v>Wave 1 – Launch</x:v>
      </x:c>
      <x:c r="L13" s="65" t="str">
        <x:f>'Course Catalogue'!Q13</x:f>
        <x:v>Code of Conduct; Core Module; Workforce Capability Framework</x:v>
      </x:c>
      <x:c r="M13" s="65" t="str">
        <x:f>'Course Catalogue'!S13</x:f>
        <x:v>https://www.ndiscommission.gov.au/workforce/training-workers/guide-for-ndis-providers/training-your-workers</x:v>
      </x:c>
      <x:c r="N13" s="65" t="str">
        <x:f>'Course Catalogue'!T13</x:f>
        <x:v>Course mapping supports evidence and capability development; it does not guarantee provider compliance.</x:v>
      </x:c>
      <x:c r="O13" s="65" t="str">
        <x:f>'Course Catalogue'!O13</x:f>
        <x:v>Planned</x:v>
      </x:c>
    </x:row>
    <x:row r="14">
      <x:c r="A14" s="65" t="str">
        <x:f>'Course Catalogue'!A14</x:f>
        <x:v>RSC-101</x:v>
      </x:c>
      <x:c r="B14" s="65" t="str">
        <x:f>LEFT('Course Catalogue'!A14,3)</x:f>
        <x:v>RSC</x:v>
      </x:c>
      <x:c r="C14" s="65" t="str">
        <x:f>'Course Catalogue'!C14</x:f>
        <x:v>Human Rights, the CRPD and Disability Support</x:v>
      </x:c>
      <x:c r="D14" s="65" t="str">
        <x:f>'Course Catalogue'!D14</x:f>
        <x:v>All workers, supervisors, provider leaders and participant representatives</x:v>
      </x:c>
      <x:c r="E14" s="65" t="str">
        <x:f>'Course Catalogue'!E14</x:f>
        <x:v>Foundation</x:v>
      </x:c>
      <x:c r="F14" s="65" t="n">
        <x:f>'Course Catalogue'!G14</x:f>
        <x:v>20</x:v>
      </x:c>
      <x:c r="G14" s="65" t="str">
        <x:f>'Course Catalogue'!F14</x:f>
        <x:v>Microlearning + knowledge check</x:v>
      </x:c>
      <x:c r="H14" s="65" t="str">
        <x:f>'Course Catalogue'!H14</x:f>
        <x:v>Knowledge quiz and scenario check</x:v>
      </x:c>
      <x:c r="I14" s="65" t="str">
        <x:f>'Course Catalogue'!I14</x:f>
        <x:v>MapAble Academy Certificate of Completion (non-accredited professional development)</x:v>
      </x:c>
      <x:c r="J14" s="65" t="str">
        <x:f>'Course Catalogue'!J14</x:f>
        <x:v>24 months; confirm through provider risk assessment</x:v>
      </x:c>
      <x:c r="K14" s="65" t="str">
        <x:f>'Course Catalogue'!N14</x:f>
        <x:v>Wave 1 – Launch</x:v>
      </x:c>
      <x:c r="L14" s="65" t="str">
        <x:f>'Course Catalogue'!Q14</x:f>
        <x:v>Rights and Responsibilities; Code of Conduct; Safeguarding</x:v>
      </x:c>
      <x:c r="M14" s="65" t="str">
        <x:f>'Course Catalogue'!S14</x:f>
        <x:v>https://www.ndiscommission.gov.au/rules-and-standards/ndis-practice-standards</x:v>
      </x:c>
      <x:c r="N14" s="65" t="str">
        <x:f>'Course Catalogue'!T14</x:f>
        <x:v>Course mapping supports evidence and capability development; it does not guarantee provider compliance.</x:v>
      </x:c>
      <x:c r="O14" s="65" t="str">
        <x:f>'Course Catalogue'!O14</x:f>
        <x:v>Planned</x:v>
      </x:c>
    </x:row>
    <x:row r="15">
      <x:c r="A15" s="65" t="str">
        <x:f>'Course Catalogue'!A15</x:f>
        <x:v>RSC-102</x:v>
      </x:c>
      <x:c r="B15" s="65" t="str">
        <x:f>LEFT('Course Catalogue'!A15,3)</x:f>
        <x:v>RSC</x:v>
      </x:c>
      <x:c r="C15" s="65" t="str">
        <x:f>'Course Catalogue'!C15</x:f>
        <x:v>The Social Model of Disability and Recognising Ableism</x:v>
      </x:c>
      <x:c r="D15" s="65" t="str">
        <x:f>'Course Catalogue'!D15</x:f>
        <x:v>All workers, supervisors, provider leaders and participant representatives</x:v>
      </x:c>
      <x:c r="E15" s="65" t="str">
        <x:f>'Course Catalogue'!E15</x:f>
        <x:v>Foundation</x:v>
      </x:c>
      <x:c r="F15" s="65" t="n">
        <x:f>'Course Catalogue'!G15</x:f>
        <x:v>30</x:v>
      </x:c>
      <x:c r="G15" s="65" t="str">
        <x:f>'Course Catalogue'!F15</x:f>
        <x:v>Self-paced eLearning</x:v>
      </x:c>
      <x:c r="H15" s="65" t="str">
        <x:f>'Course Catalogue'!H15</x:f>
        <x:v>Knowledge quiz and scenario check</x:v>
      </x:c>
      <x:c r="I15" s="65" t="str">
        <x:f>'Course Catalogue'!I15</x:f>
        <x:v>MapAble Academy Certificate of Completion (non-accredited professional development)</x:v>
      </x:c>
      <x:c r="J15" s="65" t="str">
        <x:f>'Course Catalogue'!J15</x:f>
        <x:v>24 months; confirm through provider risk assessment</x:v>
      </x:c>
      <x:c r="K15" s="65" t="str">
        <x:f>'Course Catalogue'!N15</x:f>
        <x:v>Wave 1 – Launch</x:v>
      </x:c>
      <x:c r="L15" s="65" t="str">
        <x:f>'Course Catalogue'!Q15</x:f>
        <x:v>Rights and Responsibilities; Code of Conduct; Safeguarding</x:v>
      </x:c>
      <x:c r="M15" s="65" t="str">
        <x:f>'Course Catalogue'!S15</x:f>
        <x:v>https://www.ndiscommission.gov.au/rules-and-standards/ndis-practice-standards</x:v>
      </x:c>
      <x:c r="N15" s="65" t="str">
        <x:f>'Course Catalogue'!T15</x:f>
        <x:v>Course mapping supports evidence and capability development; it does not guarantee provider compliance.</x:v>
      </x:c>
      <x:c r="O15" s="65" t="str">
        <x:f>'Course Catalogue'!O15</x:f>
        <x:v>Planned</x:v>
      </x:c>
    </x:row>
    <x:row r="16">
      <x:c r="A16" s="65" t="str">
        <x:f>'Course Catalogue'!A16</x:f>
        <x:v>RSC-103</x:v>
      </x:c>
      <x:c r="B16" s="65" t="str">
        <x:f>LEFT('Course Catalogue'!A16,3)</x:f>
        <x:v>RSC</x:v>
      </x:c>
      <x:c r="C16" s="65" t="str">
        <x:f>'Course Catalogue'!C16</x:f>
        <x:v>Choice and Control in Everyday Support</x:v>
      </x:c>
      <x:c r="D16" s="65" t="str">
        <x:f>'Course Catalogue'!D16</x:f>
        <x:v>All workers, supervisors, provider leaders and participant representatives</x:v>
      </x:c>
      <x:c r="E16" s="65" t="str">
        <x:f>'Course Catalogue'!E16</x:f>
        <x:v>Foundation</x:v>
      </x:c>
      <x:c r="F16" s="65" t="n">
        <x:f>'Course Catalogue'!G16</x:f>
        <x:v>40</x:v>
      </x:c>
      <x:c r="G16" s="65" t="str">
        <x:f>'Course Catalogue'!F16</x:f>
        <x:v>Self-paced eLearning</x:v>
      </x:c>
      <x:c r="H16" s="65" t="str">
        <x:f>'Course Catalogue'!H16</x:f>
        <x:v>Knowledge quiz and scenario check</x:v>
      </x:c>
      <x:c r="I16" s="65" t="str">
        <x:f>'Course Catalogue'!I16</x:f>
        <x:v>MapAble Academy Certificate of Completion (non-accredited professional development)</x:v>
      </x:c>
      <x:c r="J16" s="65" t="str">
        <x:f>'Course Catalogue'!J16</x:f>
        <x:v>24 months; confirm through provider risk assessment</x:v>
      </x:c>
      <x:c r="K16" s="65" t="str">
        <x:f>'Course Catalogue'!N16</x:f>
        <x:v>Wave 1 – Launch</x:v>
      </x:c>
      <x:c r="L16" s="65" t="str">
        <x:f>'Course Catalogue'!Q16</x:f>
        <x:v>Rights and Responsibilities; Code of Conduct; Safeguarding</x:v>
      </x:c>
      <x:c r="M16" s="65" t="str">
        <x:f>'Course Catalogue'!S16</x:f>
        <x:v>https://www.ndiscommission.gov.au/rules-and-standards/ndis-practice-standards</x:v>
      </x:c>
      <x:c r="N16" s="65" t="str">
        <x:f>'Course Catalogue'!T16</x:f>
        <x:v>Course mapping supports evidence and capability development; it does not guarantee provider compliance.</x:v>
      </x:c>
      <x:c r="O16" s="65" t="str">
        <x:f>'Course Catalogue'!O16</x:f>
        <x:v>Planned</x:v>
      </x:c>
    </x:row>
    <x:row r="17">
      <x:c r="A17" s="65" t="str">
        <x:f>'Course Catalogue'!A17</x:f>
        <x:v>RSC-104</x:v>
      </x:c>
      <x:c r="B17" s="65" t="str">
        <x:f>LEFT('Course Catalogue'!A17,3)</x:f>
        <x:v>RSC</x:v>
      </x:c>
      <x:c r="C17" s="65" t="str">
        <x:f>'Course Catalogue'!C17</x:f>
        <x:v>Supported Decision-Making in Practice</x:v>
      </x:c>
      <x:c r="D17" s="65" t="str">
        <x:f>'Course Catalogue'!D17</x:f>
        <x:v>All workers, supervisors, provider leaders and participant representatives</x:v>
      </x:c>
      <x:c r="E17" s="65" t="str">
        <x:f>'Course Catalogue'!E17</x:f>
        <x:v>Intermediate</x:v>
      </x:c>
      <x:c r="F17" s="65" t="n">
        <x:f>'Course Catalogue'!G17</x:f>
        <x:v>50</x:v>
      </x:c>
      <x:c r="G17" s="65" t="str">
        <x:f>'Course Catalogue'!F17</x:f>
        <x:v>Scenario-based eLearning</x:v>
      </x:c>
      <x:c r="H17" s="65" t="str">
        <x:f>'Course Catalogue'!H17</x:f>
        <x:v>Scenario assessment and reflective response</x:v>
      </x:c>
      <x:c r="I17" s="65" t="str">
        <x:f>'Course Catalogue'!I17</x:f>
        <x:v>MapAble Academy Certificate of Completion (non-accredited professional development)</x:v>
      </x:c>
      <x:c r="J17" s="65" t="str">
        <x:f>'Course Catalogue'!J17</x:f>
        <x:v>24 months; confirm through provider risk assessment</x:v>
      </x:c>
      <x:c r="K17" s="65" t="str">
        <x:f>'Course Catalogue'!N17</x:f>
        <x:v>Wave 1 – Launch</x:v>
      </x:c>
      <x:c r="L17" s="65" t="str">
        <x:f>'Course Catalogue'!Q17</x:f>
        <x:v>Rights and Responsibilities; Code of Conduct; Safeguarding</x:v>
      </x:c>
      <x:c r="M17" s="65" t="str">
        <x:f>'Course Catalogue'!S17</x:f>
        <x:v>https://www.ndiscommission.gov.au/rules-and-standards/ndis-practice-standards</x:v>
      </x:c>
      <x:c r="N17" s="65" t="str">
        <x:f>'Course Catalogue'!T17</x:f>
        <x:v>Course mapping supports evidence and capability development; it does not guarantee provider compliance.</x:v>
      </x:c>
      <x:c r="O17" s="65" t="str">
        <x:f>'Course Catalogue'!O17</x:f>
        <x:v>Planned</x:v>
      </x:c>
    </x:row>
    <x:row r="18">
      <x:c r="A18" s="65" t="str">
        <x:f>'Course Catalogue'!A18</x:f>
        <x:v>RSC-105</x:v>
      </x:c>
      <x:c r="B18" s="65" t="str">
        <x:f>LEFT('Course Catalogue'!A18,3)</x:f>
        <x:v>RSC</x:v>
      </x:c>
      <x:c r="C18" s="65" t="str">
        <x:f>'Course Catalogue'!C18</x:f>
        <x:v>Dignity of Risk and Positive Risk Enablement</x:v>
      </x:c>
      <x:c r="D18" s="65" t="str">
        <x:f>'Course Catalogue'!D18</x:f>
        <x:v>All workers, supervisors, provider leaders and participant representatives</x:v>
      </x:c>
      <x:c r="E18" s="65" t="str">
        <x:f>'Course Catalogue'!E18</x:f>
        <x:v>Intermediate</x:v>
      </x:c>
      <x:c r="F18" s="65" t="n">
        <x:f>'Course Catalogue'!G18</x:f>
        <x:v>20</x:v>
      </x:c>
      <x:c r="G18" s="65" t="str">
        <x:f>'Course Catalogue'!F18</x:f>
        <x:v>Microlearning + knowledge check</x:v>
      </x:c>
      <x:c r="H18" s="65" t="str">
        <x:f>'Course Catalogue'!H18</x:f>
        <x:v>Scenario assessment and reflective response</x:v>
      </x:c>
      <x:c r="I18" s="65" t="str">
        <x:f>'Course Catalogue'!I18</x:f>
        <x:v>MapAble Academy Certificate of Completion (non-accredited professional development)</x:v>
      </x:c>
      <x:c r="J18" s="65" t="str">
        <x:f>'Course Catalogue'!J18</x:f>
        <x:v>24 months; confirm through provider risk assessment</x:v>
      </x:c>
      <x:c r="K18" s="65" t="str">
        <x:f>'Course Catalogue'!N18</x:f>
        <x:v>Wave 1 – Launch</x:v>
      </x:c>
      <x:c r="L18" s="65" t="str">
        <x:f>'Course Catalogue'!Q18</x:f>
        <x:v>Rights and Responsibilities; Code of Conduct; Safeguarding</x:v>
      </x:c>
      <x:c r="M18" s="65" t="str">
        <x:f>'Course Catalogue'!S18</x:f>
        <x:v>https://www.ndiscommission.gov.au/rules-and-standards/ndis-practice-standards</x:v>
      </x:c>
      <x:c r="N18" s="65" t="str">
        <x:f>'Course Catalogue'!T18</x:f>
        <x:v>Course mapping supports evidence and capability development; it does not guarantee provider compliance.</x:v>
      </x:c>
      <x:c r="O18" s="65" t="str">
        <x:f>'Course Catalogue'!O18</x:f>
        <x:v>Planned</x:v>
      </x:c>
    </x:row>
    <x:row r="19">
      <x:c r="A19" s="65" t="str">
        <x:f>'Course Catalogue'!A19</x:f>
        <x:v>RSC-106</x:v>
      </x:c>
      <x:c r="B19" s="65" t="str">
        <x:f>LEFT('Course Catalogue'!A19,3)</x:f>
        <x:v>RSC</x:v>
      </x:c>
      <x:c r="C19" s="65" t="str">
        <x:f>'Course Catalogue'!C19</x:f>
        <x:v>Consent, Bodily Autonomy and Withdrawing Consent</x:v>
      </x:c>
      <x:c r="D19" s="65" t="str">
        <x:f>'Course Catalogue'!D19</x:f>
        <x:v>All workers, supervisors, provider leaders and participant representatives</x:v>
      </x:c>
      <x:c r="E19" s="65" t="str">
        <x:f>'Course Catalogue'!E19</x:f>
        <x:v>Intermediate</x:v>
      </x:c>
      <x:c r="F19" s="65" t="n">
        <x:f>'Course Catalogue'!G19</x:f>
        <x:v>30</x:v>
      </x:c>
      <x:c r="G19" s="65" t="str">
        <x:f>'Course Catalogue'!F19</x:f>
        <x:v>Self-paced eLearning</x:v>
      </x:c>
      <x:c r="H19" s="65" t="str">
        <x:f>'Course Catalogue'!H19</x:f>
        <x:v>Scenario assessment and reflective response</x:v>
      </x:c>
      <x:c r="I19" s="65" t="str">
        <x:f>'Course Catalogue'!I19</x:f>
        <x:v>MapAble Academy Certificate of Completion (non-accredited professional development)</x:v>
      </x:c>
      <x:c r="J19" s="65" t="str">
        <x:f>'Course Catalogue'!J19</x:f>
        <x:v>24 months; confirm through provider risk assessment</x:v>
      </x:c>
      <x:c r="K19" s="65" t="str">
        <x:f>'Course Catalogue'!N19</x:f>
        <x:v>Wave 1 – Launch</x:v>
      </x:c>
      <x:c r="L19" s="65" t="str">
        <x:f>'Course Catalogue'!Q19</x:f>
        <x:v>Rights and Responsibilities; Code of Conduct; Safeguarding</x:v>
      </x:c>
      <x:c r="M19" s="65" t="str">
        <x:f>'Course Catalogue'!S19</x:f>
        <x:v>https://www.ndiscommission.gov.au/rules-and-standards/ndis-practice-standards</x:v>
      </x:c>
      <x:c r="N19" s="65" t="str">
        <x:f>'Course Catalogue'!T19</x:f>
        <x:v>Course mapping supports evidence and capability development; it does not guarantee provider compliance.</x:v>
      </x:c>
      <x:c r="O19" s="65" t="str">
        <x:f>'Course Catalogue'!O19</x:f>
        <x:v>Planned</x:v>
      </x:c>
    </x:row>
    <x:row r="20">
      <x:c r="A20" s="65" t="str">
        <x:f>'Course Catalogue'!A20</x:f>
        <x:v>RSC-107</x:v>
      </x:c>
      <x:c r="B20" s="65" t="str">
        <x:f>LEFT('Course Catalogue'!A20,3)</x:f>
        <x:v>RSC</x:v>
      </x:c>
      <x:c r="C20" s="65" t="str">
        <x:f>'Course Catalogue'!C20</x:f>
        <x:v>Privacy, Dignity and Confidentiality</x:v>
      </x:c>
      <x:c r="D20" s="65" t="str">
        <x:f>'Course Catalogue'!D20</x:f>
        <x:v>All workers, supervisors, provider leaders and participant representatives</x:v>
      </x:c>
      <x:c r="E20" s="65" t="str">
        <x:f>'Course Catalogue'!E20</x:f>
        <x:v>Intermediate</x:v>
      </x:c>
      <x:c r="F20" s="65" t="n">
        <x:f>'Course Catalogue'!G20</x:f>
        <x:v>40</x:v>
      </x:c>
      <x:c r="G20" s="65" t="str">
        <x:f>'Course Catalogue'!F20</x:f>
        <x:v>Self-paced eLearning</x:v>
      </x:c>
      <x:c r="H20" s="65" t="str">
        <x:f>'Course Catalogue'!H20</x:f>
        <x:v>Scenario assessment and reflective response</x:v>
      </x:c>
      <x:c r="I20" s="65" t="str">
        <x:f>'Course Catalogue'!I20</x:f>
        <x:v>MapAble Academy Certificate of Completion (non-accredited professional development)</x:v>
      </x:c>
      <x:c r="J20" s="65" t="str">
        <x:f>'Course Catalogue'!J20</x:f>
        <x:v>24 months; confirm through provider risk assessment</x:v>
      </x:c>
      <x:c r="K20" s="65" t="str">
        <x:f>'Course Catalogue'!N20</x:f>
        <x:v>Wave 2 – Expansion</x:v>
      </x:c>
      <x:c r="L20" s="65" t="str">
        <x:f>'Course Catalogue'!Q20</x:f>
        <x:v>Rights and Responsibilities; Code of Conduct; Safeguarding</x:v>
      </x:c>
      <x:c r="M20" s="65" t="str">
        <x:f>'Course Catalogue'!S20</x:f>
        <x:v>https://www.ndiscommission.gov.au/rules-and-standards/ndis-practice-standards</x:v>
      </x:c>
      <x:c r="N20" s="65" t="str">
        <x:f>'Course Catalogue'!T20</x:f>
        <x:v>Course mapping supports evidence and capability development; it does not guarantee provider compliance.</x:v>
      </x:c>
      <x:c r="O20" s="65" t="str">
        <x:f>'Course Catalogue'!O20</x:f>
        <x:v>Planned</x:v>
      </x:c>
    </x:row>
    <x:row r="21">
      <x:c r="A21" s="65" t="str">
        <x:f>'Course Catalogue'!A21</x:f>
        <x:v>RSC-108</x:v>
      </x:c>
      <x:c r="B21" s="65" t="str">
        <x:f>LEFT('Course Catalogue'!A21,3)</x:f>
        <x:v>RSC</x:v>
      </x:c>
      <x:c r="C21" s="65" t="str">
        <x:f>'Course Catalogue'!C21</x:f>
        <x:v>Recognising Abuse, Neglect, Exploitation and Violence</x:v>
      </x:c>
      <x:c r="D21" s="65" t="str">
        <x:f>'Course Catalogue'!D21</x:f>
        <x:v>All workers, supervisors, provider leaders and participant representatives</x:v>
      </x:c>
      <x:c r="E21" s="65" t="str">
        <x:f>'Course Catalogue'!E21</x:f>
        <x:v>Advanced</x:v>
      </x:c>
      <x:c r="F21" s="65" t="n">
        <x:f>'Course Catalogue'!G21</x:f>
        <x:v>50</x:v>
      </x:c>
      <x:c r="G21" s="65" t="str">
        <x:f>'Course Catalogue'!F21</x:f>
        <x:v>Scenario-based eLearning</x:v>
      </x:c>
      <x:c r="H21" s="65" t="str">
        <x:f>'Course Catalogue'!H21</x:f>
        <x:v>Scenario assessment and reflective response</x:v>
      </x:c>
      <x:c r="I21" s="65" t="str">
        <x:f>'Course Catalogue'!I21</x:f>
        <x:v>MapAble Academy Certificate of Completion (non-accredited professional development)</x:v>
      </x:c>
      <x:c r="J21" s="65" t="str">
        <x:f>'Course Catalogue'!J21</x:f>
        <x:v>24 months; confirm through provider risk assessment</x:v>
      </x:c>
      <x:c r="K21" s="65" t="str">
        <x:f>'Course Catalogue'!N21</x:f>
        <x:v>Wave 1 – Launch</x:v>
      </x:c>
      <x:c r="L21" s="65" t="str">
        <x:f>'Course Catalogue'!Q21</x:f>
        <x:v>Rights and Responsibilities; Code of Conduct; Safeguarding</x:v>
      </x:c>
      <x:c r="M21" s="65" t="str">
        <x:f>'Course Catalogue'!S21</x:f>
        <x:v>https://www.ndiscommission.gov.au/rules-and-standards/ndis-practice-standards</x:v>
      </x:c>
      <x:c r="N21" s="65" t="str">
        <x:f>'Course Catalogue'!T21</x:f>
        <x:v>Course mapping supports evidence and capability development; it does not guarantee provider compliance.</x:v>
      </x:c>
      <x:c r="O21" s="65" t="str">
        <x:f>'Course Catalogue'!O21</x:f>
        <x:v>Planned</x:v>
      </x:c>
    </x:row>
    <x:row r="22">
      <x:c r="A22" s="65" t="str">
        <x:f>'Course Catalogue'!A22</x:f>
        <x:v>RSC-109</x:v>
      </x:c>
      <x:c r="B22" s="65" t="str">
        <x:f>LEFT('Course Catalogue'!A22,3)</x:f>
        <x:v>RSC</x:v>
      </x:c>
      <x:c r="C22" s="65" t="str">
        <x:f>'Course Catalogue'!C22</x:f>
        <x:v>Sexual Safety, Respectful Relationships and Safeguarding</x:v>
      </x:c>
      <x:c r="D22" s="65" t="str">
        <x:f>'Course Catalogue'!D22</x:f>
        <x:v>All workers, supervisors, provider leaders and participant representatives</x:v>
      </x:c>
      <x:c r="E22" s="65" t="str">
        <x:f>'Course Catalogue'!E22</x:f>
        <x:v>Advanced</x:v>
      </x:c>
      <x:c r="F22" s="65" t="n">
        <x:f>'Course Catalogue'!G22</x:f>
        <x:v>20</x:v>
      </x:c>
      <x:c r="G22" s="65" t="str">
        <x:f>'Course Catalogue'!F22</x:f>
        <x:v>Microlearning + knowledge check</x:v>
      </x:c>
      <x:c r="H22" s="65" t="str">
        <x:f>'Course Catalogue'!H22</x:f>
        <x:v>Scenario assessment and reflective response</x:v>
      </x:c>
      <x:c r="I22" s="65" t="str">
        <x:f>'Course Catalogue'!I22</x:f>
        <x:v>MapAble Academy Certificate of Completion (non-accredited professional development)</x:v>
      </x:c>
      <x:c r="J22" s="65" t="str">
        <x:f>'Course Catalogue'!J22</x:f>
        <x:v>24 months; confirm through provider risk assessment</x:v>
      </x:c>
      <x:c r="K22" s="65" t="str">
        <x:f>'Course Catalogue'!N22</x:f>
        <x:v>Wave 3 – Specialist</x:v>
      </x:c>
      <x:c r="L22" s="65" t="str">
        <x:f>'Course Catalogue'!Q22</x:f>
        <x:v>Rights and Responsibilities; Code of Conduct; Safeguarding</x:v>
      </x:c>
      <x:c r="M22" s="65" t="str">
        <x:f>'Course Catalogue'!S22</x:f>
        <x:v>https://www.ndiscommission.gov.au/rules-and-standards/ndis-practice-standards</x:v>
      </x:c>
      <x:c r="N22" s="65" t="str">
        <x:f>'Course Catalogue'!T22</x:f>
        <x:v>Course mapping supports evidence and capability development; it does not guarantee provider compliance.</x:v>
      </x:c>
      <x:c r="O22" s="65" t="str">
        <x:f>'Course Catalogue'!O22</x:f>
        <x:v>Planned</x:v>
      </x:c>
    </x:row>
    <x:row r="23">
      <x:c r="A23" s="65" t="str">
        <x:f>'Course Catalogue'!A23</x:f>
        <x:v>RSC-110</x:v>
      </x:c>
      <x:c r="B23" s="65" t="str">
        <x:f>LEFT('Course Catalogue'!A23,3)</x:f>
        <x:v>RSC</x:v>
      </x:c>
      <x:c r="C23" s="65" t="str">
        <x:f>'Course Catalogue'!C23</x:f>
        <x:v>Complaints, Incidents, Speaking Up and Whistleblower Protection</x:v>
      </x:c>
      <x:c r="D23" s="65" t="str">
        <x:f>'Course Catalogue'!D23</x:f>
        <x:v>All workers, supervisors, provider leaders and participant representatives</x:v>
      </x:c>
      <x:c r="E23" s="65" t="str">
        <x:f>'Course Catalogue'!E23</x:f>
        <x:v>Advanced</x:v>
      </x:c>
      <x:c r="F23" s="65" t="n">
        <x:f>'Course Catalogue'!G23</x:f>
        <x:v>30</x:v>
      </x:c>
      <x:c r="G23" s="65" t="str">
        <x:f>'Course Catalogue'!F23</x:f>
        <x:v>Self-paced eLearning</x:v>
      </x:c>
      <x:c r="H23" s="65" t="str">
        <x:f>'Course Catalogue'!H23</x:f>
        <x:v>Scenario assessment and reflective response</x:v>
      </x:c>
      <x:c r="I23" s="65" t="str">
        <x:f>'Course Catalogue'!I23</x:f>
        <x:v>MapAble Academy Certificate of Completion (non-accredited professional development)</x:v>
      </x:c>
      <x:c r="J23" s="65" t="str">
        <x:f>'Course Catalogue'!J23</x:f>
        <x:v>24 months; confirm through provider risk assessment</x:v>
      </x:c>
      <x:c r="K23" s="65" t="str">
        <x:f>'Course Catalogue'!N23</x:f>
        <x:v>Wave 2 – Expansion</x:v>
      </x:c>
      <x:c r="L23" s="65" t="str">
        <x:f>'Course Catalogue'!Q23</x:f>
        <x:v>Rights and Responsibilities; Code of Conduct; Safeguarding</x:v>
      </x:c>
      <x:c r="M23" s="65" t="str">
        <x:f>'Course Catalogue'!S23</x:f>
        <x:v>https://www.ndiscommission.gov.au/rules-and-standards/ndis-practice-standards</x:v>
      </x:c>
      <x:c r="N23" s="65" t="str">
        <x:f>'Course Catalogue'!T23</x:f>
        <x:v>Course mapping supports evidence and capability development; it does not guarantee provider compliance.</x:v>
      </x:c>
      <x:c r="O23" s="65" t="str">
        <x:f>'Course Catalogue'!O23</x:f>
        <x:v>Planned</x:v>
      </x:c>
    </x:row>
    <x:row r="24">
      <x:c r="A24" s="65" t="str">
        <x:f>'Course Catalogue'!A24</x:f>
        <x:v>CAI-101</x:v>
      </x:c>
      <x:c r="B24" s="65" t="str">
        <x:f>LEFT('Course Catalogue'!A24,3)</x:f>
        <x:v>CAI</x:v>
      </x:c>
      <x:c r="C24" s="65" t="str">
        <x:f>'Course Catalogue'!C24</x:f>
        <x:v>Inclusive Communication Foundations</x:v>
      </x:c>
      <x:c r="D24" s="65" t="str">
        <x:f>'Course Catalogue'!D24</x:f>
        <x:v>Support workers, frontline leaders, service designers and communication partners</x:v>
      </x:c>
      <x:c r="E24" s="65" t="str">
        <x:f>'Course Catalogue'!E24</x:f>
        <x:v>Foundation</x:v>
      </x:c>
      <x:c r="F24" s="65" t="n">
        <x:f>'Course Catalogue'!G24</x:f>
        <x:v>20</x:v>
      </x:c>
      <x:c r="G24" s="65" t="str">
        <x:f>'Course Catalogue'!F24</x:f>
        <x:v>Microlearning + knowledge check</x:v>
      </x:c>
      <x:c r="H24" s="65" t="str">
        <x:f>'Course Catalogue'!H24</x:f>
        <x:v>Knowledge quiz and scenario check</x:v>
      </x:c>
      <x:c r="I24" s="65" t="str">
        <x:f>'Course Catalogue'!I24</x:f>
        <x:v>MapAble Academy Certificate of Completion (non-accredited professional development)</x:v>
      </x:c>
      <x:c r="J24" s="65" t="str">
        <x:f>'Course Catalogue'!J24</x:f>
        <x:v>24 months; confirm through provider risk assessment</x:v>
      </x:c>
      <x:c r="K24" s="65" t="str">
        <x:f>'Course Catalogue'!N24</x:f>
        <x:v>Wave 1 – Launch</x:v>
      </x:c>
      <x:c r="L24" s="65" t="str">
        <x:f>'Course Catalogue'!Q24</x:f>
        <x:v>Person-Centred Supports; Independence and Informed Choice; Communication Access</x:v>
      </x:c>
      <x:c r="M24" s="65" t="str">
        <x:f>'Course Catalogue'!S24</x:f>
        <x:v>https://www.ndiscommission.gov.au/workforce/online-training-modules</x:v>
      </x:c>
      <x:c r="N24" s="65" t="str">
        <x:f>'Course Catalogue'!T24</x:f>
        <x:v>Course mapping supports evidence and capability development; it does not guarantee provider compliance.</x:v>
      </x:c>
      <x:c r="O24" s="65" t="str">
        <x:f>'Course Catalogue'!O24</x:f>
        <x:v>Planned</x:v>
      </x:c>
    </x:row>
    <x:row r="25">
      <x:c r="A25" s="65" t="str">
        <x:f>'Course Catalogue'!A25</x:f>
        <x:v>CAI-102</x:v>
      </x:c>
      <x:c r="B25" s="65" t="str">
        <x:f>LEFT('Course Catalogue'!A25,3)</x:f>
        <x:v>CAI</x:v>
      </x:c>
      <x:c r="C25" s="65" t="str">
        <x:f>'Course Catalogue'!C25</x:f>
        <x:v>Augmentative and Alternative Communication Foundations</x:v>
      </x:c>
      <x:c r="D25" s="65" t="str">
        <x:f>'Course Catalogue'!D25</x:f>
        <x:v>Support workers, frontline leaders, service designers and communication partners</x:v>
      </x:c>
      <x:c r="E25" s="65" t="str">
        <x:f>'Course Catalogue'!E25</x:f>
        <x:v>Foundation</x:v>
      </x:c>
      <x:c r="F25" s="65" t="n">
        <x:f>'Course Catalogue'!G25</x:f>
        <x:v>30</x:v>
      </x:c>
      <x:c r="G25" s="65" t="str">
        <x:f>'Course Catalogue'!F25</x:f>
        <x:v>Self-paced eLearning</x:v>
      </x:c>
      <x:c r="H25" s="65" t="str">
        <x:f>'Course Catalogue'!H25</x:f>
        <x:v>Knowledge quiz and scenario check</x:v>
      </x:c>
      <x:c r="I25" s="65" t="str">
        <x:f>'Course Catalogue'!I25</x:f>
        <x:v>MapAble Academy Certificate of Completion (non-accredited professional development)</x:v>
      </x:c>
      <x:c r="J25" s="65" t="str">
        <x:f>'Course Catalogue'!J25</x:f>
        <x:v>24 months; confirm through provider risk assessment</x:v>
      </x:c>
      <x:c r="K25" s="65" t="str">
        <x:f>'Course Catalogue'!N25</x:f>
        <x:v>Wave 1 – Launch</x:v>
      </x:c>
      <x:c r="L25" s="65" t="str">
        <x:f>'Course Catalogue'!Q25</x:f>
        <x:v>Person-Centred Supports; Independence and Informed Choice; Communication Access</x:v>
      </x:c>
      <x:c r="M25" s="65" t="str">
        <x:f>'Course Catalogue'!S25</x:f>
        <x:v>https://www.ndiscommission.gov.au/workforce/online-training-modules</x:v>
      </x:c>
      <x:c r="N25" s="65" t="str">
        <x:f>'Course Catalogue'!T25</x:f>
        <x:v>Course mapping supports evidence and capability development; it does not guarantee provider compliance.</x:v>
      </x:c>
      <x:c r="O25" s="65" t="str">
        <x:f>'Course Catalogue'!O25</x:f>
        <x:v>Planned</x:v>
      </x:c>
    </x:row>
    <x:row r="26">
      <x:c r="A26" s="65" t="str">
        <x:f>'Course Catalogue'!A26</x:f>
        <x:v>CAI-103</x:v>
      </x:c>
      <x:c r="B26" s="65" t="str">
        <x:f>LEFT('Course Catalogue'!A26,3)</x:f>
        <x:v>CAI</x:v>
      </x:c>
      <x:c r="C26" s="65" t="str">
        <x:f>'Course Catalogue'!C26</x:f>
        <x:v>Supporting People with Dysarthria and Speech Difference</x:v>
      </x:c>
      <x:c r="D26" s="65" t="str">
        <x:f>'Course Catalogue'!D26</x:f>
        <x:v>Support workers, frontline leaders, service designers and communication partners</x:v>
      </x:c>
      <x:c r="E26" s="65" t="str">
        <x:f>'Course Catalogue'!E26</x:f>
        <x:v>Foundation</x:v>
      </x:c>
      <x:c r="F26" s="65" t="n">
        <x:f>'Course Catalogue'!G26</x:f>
        <x:v>40</x:v>
      </x:c>
      <x:c r="G26" s="65" t="str">
        <x:f>'Course Catalogue'!F26</x:f>
        <x:v>Self-paced eLearning</x:v>
      </x:c>
      <x:c r="H26" s="65" t="str">
        <x:f>'Course Catalogue'!H26</x:f>
        <x:v>Knowledge quiz and scenario check</x:v>
      </x:c>
      <x:c r="I26" s="65" t="str">
        <x:f>'Course Catalogue'!I26</x:f>
        <x:v>MapAble Academy Certificate of Completion (non-accredited professional development)</x:v>
      </x:c>
      <x:c r="J26" s="65" t="str">
        <x:f>'Course Catalogue'!J26</x:f>
        <x:v>24 months; confirm through provider risk assessment</x:v>
      </x:c>
      <x:c r="K26" s="65" t="str">
        <x:f>'Course Catalogue'!N26</x:f>
        <x:v>Wave 1 – Launch</x:v>
      </x:c>
      <x:c r="L26" s="65" t="str">
        <x:f>'Course Catalogue'!Q26</x:f>
        <x:v>Person-Centred Supports; Independence and Informed Choice; Communication Access</x:v>
      </x:c>
      <x:c r="M26" s="65" t="str">
        <x:f>'Course Catalogue'!S26</x:f>
        <x:v>https://www.ndiscommission.gov.au/workforce/online-training-modules</x:v>
      </x:c>
      <x:c r="N26" s="65" t="str">
        <x:f>'Course Catalogue'!T26</x:f>
        <x:v>Course mapping supports evidence and capability development; it does not guarantee provider compliance.</x:v>
      </x:c>
      <x:c r="O26" s="65" t="str">
        <x:f>'Course Catalogue'!O26</x:f>
        <x:v>Planned</x:v>
      </x:c>
    </x:row>
    <x:row r="27">
      <x:c r="A27" s="65" t="str">
        <x:f>'Course Catalogue'!A27</x:f>
        <x:v>CAI-104</x:v>
      </x:c>
      <x:c r="B27" s="65" t="str">
        <x:f>LEFT('Course Catalogue'!A27,3)</x:f>
        <x:v>CAI</x:v>
      </x:c>
      <x:c r="C27" s="65" t="str">
        <x:f>'Course Catalogue'!C27</x:f>
        <x:v>Communication Passports and Individual Communication Plans</x:v>
      </x:c>
      <x:c r="D27" s="65" t="str">
        <x:f>'Course Catalogue'!D27</x:f>
        <x:v>Support workers, frontline leaders, service designers and communication partners</x:v>
      </x:c>
      <x:c r="E27" s="65" t="str">
        <x:f>'Course Catalogue'!E27</x:f>
        <x:v>Intermediate</x:v>
      </x:c>
      <x:c r="F27" s="65" t="n">
        <x:f>'Course Catalogue'!G27</x:f>
        <x:v>50</x:v>
      </x:c>
      <x:c r="G27" s="65" t="str">
        <x:f>'Course Catalogue'!F27</x:f>
        <x:v>Scenario-based eLearning</x:v>
      </x:c>
      <x:c r="H27" s="65" t="str">
        <x:f>'Course Catalogue'!H27</x:f>
        <x:v>Scenario assessment and reflective response</x:v>
      </x:c>
      <x:c r="I27" s="65" t="str">
        <x:f>'Course Catalogue'!I27</x:f>
        <x:v>MapAble Academy Certificate of Completion (non-accredited professional development)</x:v>
      </x:c>
      <x:c r="J27" s="65" t="str">
        <x:f>'Course Catalogue'!J27</x:f>
        <x:v>24 months; confirm through provider risk assessment</x:v>
      </x:c>
      <x:c r="K27" s="65" t="str">
        <x:f>'Course Catalogue'!N27</x:f>
        <x:v>Wave 1 – Launch</x:v>
      </x:c>
      <x:c r="L27" s="65" t="str">
        <x:f>'Course Catalogue'!Q27</x:f>
        <x:v>Person-Centred Supports; Independence and Informed Choice; Communication Access</x:v>
      </x:c>
      <x:c r="M27" s="65" t="str">
        <x:f>'Course Catalogue'!S27</x:f>
        <x:v>https://www.ndiscommission.gov.au/workforce/online-training-modules</x:v>
      </x:c>
      <x:c r="N27" s="65" t="str">
        <x:f>'Course Catalogue'!T27</x:f>
        <x:v>Course mapping supports evidence and capability development; it does not guarantee provider compliance.</x:v>
      </x:c>
      <x:c r="O27" s="65" t="str">
        <x:f>'Course Catalogue'!O27</x:f>
        <x:v>Planned</x:v>
      </x:c>
    </x:row>
    <x:row r="28">
      <x:c r="A28" s="65" t="str">
        <x:f>'Course Catalogue'!A28</x:f>
        <x:v>CAI-105</x:v>
      </x:c>
      <x:c r="B28" s="65" t="str">
        <x:f>LEFT('Course Catalogue'!A28,3)</x:f>
        <x:v>CAI</x:v>
      </x:c>
      <x:c r="C28" s="65" t="str">
        <x:f>'Course Catalogue'!C28</x:f>
        <x:v>Working Respectfully with Deaf People and Auslan Interpreters</x:v>
      </x:c>
      <x:c r="D28" s="65" t="str">
        <x:f>'Course Catalogue'!D28</x:f>
        <x:v>Support workers, frontline leaders, service designers and communication partners</x:v>
      </x:c>
      <x:c r="E28" s="65" t="str">
        <x:f>'Course Catalogue'!E28</x:f>
        <x:v>Intermediate</x:v>
      </x:c>
      <x:c r="F28" s="65" t="n">
        <x:f>'Course Catalogue'!G28</x:f>
        <x:v>20</x:v>
      </x:c>
      <x:c r="G28" s="65" t="str">
        <x:f>'Course Catalogue'!F28</x:f>
        <x:v>Microlearning + knowledge check</x:v>
      </x:c>
      <x:c r="H28" s="65" t="str">
        <x:f>'Course Catalogue'!H28</x:f>
        <x:v>Scenario assessment and reflective response</x:v>
      </x:c>
      <x:c r="I28" s="65" t="str">
        <x:f>'Course Catalogue'!I28</x:f>
        <x:v>MapAble Academy Certificate of Completion (non-accredited professional development)</x:v>
      </x:c>
      <x:c r="J28" s="65" t="str">
        <x:f>'Course Catalogue'!J28</x:f>
        <x:v>24 months; confirm through provider risk assessment</x:v>
      </x:c>
      <x:c r="K28" s="65" t="str">
        <x:f>'Course Catalogue'!N28</x:f>
        <x:v>Wave 3 – Specialist</x:v>
      </x:c>
      <x:c r="L28" s="65" t="str">
        <x:f>'Course Catalogue'!Q28</x:f>
        <x:v>Person-Centred Supports; Independence and Informed Choice; Communication Access</x:v>
      </x:c>
      <x:c r="M28" s="65" t="str">
        <x:f>'Course Catalogue'!S28</x:f>
        <x:v>https://www.ndiscommission.gov.au/workforce/online-training-modules</x:v>
      </x:c>
      <x:c r="N28" s="65" t="str">
        <x:f>'Course Catalogue'!T28</x:f>
        <x:v>Course mapping supports evidence and capability development; it does not guarantee provider compliance.</x:v>
      </x:c>
      <x:c r="O28" s="65" t="str">
        <x:f>'Course Catalogue'!O28</x:f>
        <x:v>Planned</x:v>
      </x:c>
    </x:row>
    <x:row r="29">
      <x:c r="A29" s="65" t="str">
        <x:f>'Course Catalogue'!A29</x:f>
        <x:v>CAI-106</x:v>
      </x:c>
      <x:c r="B29" s="65" t="str">
        <x:f>LEFT('Course Catalogue'!A29,3)</x:f>
        <x:v>CAI</x:v>
      </x:c>
      <x:c r="C29" s="65" t="str">
        <x:f>'Course Catalogue'!C29</x:f>
        <x:v>Communication Access for Blindness and Low Vision</x:v>
      </x:c>
      <x:c r="D29" s="65" t="str">
        <x:f>'Course Catalogue'!D29</x:f>
        <x:v>Support workers, frontline leaders, service designers and communication partners</x:v>
      </x:c>
      <x:c r="E29" s="65" t="str">
        <x:f>'Course Catalogue'!E29</x:f>
        <x:v>Intermediate</x:v>
      </x:c>
      <x:c r="F29" s="65" t="n">
        <x:f>'Course Catalogue'!G29</x:f>
        <x:v>30</x:v>
      </x:c>
      <x:c r="G29" s="65" t="str">
        <x:f>'Course Catalogue'!F29</x:f>
        <x:v>Self-paced eLearning</x:v>
      </x:c>
      <x:c r="H29" s="65" t="str">
        <x:f>'Course Catalogue'!H29</x:f>
        <x:v>Scenario assessment and reflective response</x:v>
      </x:c>
      <x:c r="I29" s="65" t="str">
        <x:f>'Course Catalogue'!I29</x:f>
        <x:v>MapAble Academy Certificate of Completion (non-accredited professional development)</x:v>
      </x:c>
      <x:c r="J29" s="65" t="str">
        <x:f>'Course Catalogue'!J29</x:f>
        <x:v>24 months; confirm through provider risk assessment</x:v>
      </x:c>
      <x:c r="K29" s="65" t="str">
        <x:f>'Course Catalogue'!N29</x:f>
        <x:v>Wave 2 – Expansion</x:v>
      </x:c>
      <x:c r="L29" s="65" t="str">
        <x:f>'Course Catalogue'!Q29</x:f>
        <x:v>Person-Centred Supports; Independence and Informed Choice; Communication Access</x:v>
      </x:c>
      <x:c r="M29" s="65" t="str">
        <x:f>'Course Catalogue'!S29</x:f>
        <x:v>https://www.ndiscommission.gov.au/workforce/online-training-modules</x:v>
      </x:c>
      <x:c r="N29" s="65" t="str">
        <x:f>'Course Catalogue'!T29</x:f>
        <x:v>Course mapping supports evidence and capability development; it does not guarantee provider compliance.</x:v>
      </x:c>
      <x:c r="O29" s="65" t="str">
        <x:f>'Course Catalogue'!O29</x:f>
        <x:v>Planned</x:v>
      </x:c>
    </x:row>
    <x:row r="30">
      <x:c r="A30" s="65" t="str">
        <x:f>'Course Catalogue'!A30</x:f>
        <x:v>CAI-107</x:v>
      </x:c>
      <x:c r="B30" s="65" t="str">
        <x:f>LEFT('Course Catalogue'!A30,3)</x:f>
        <x:v>CAI</x:v>
      </x:c>
      <x:c r="C30" s="65" t="str">
        <x:f>'Course Catalogue'!C30</x:f>
        <x:v>Easy Read, Cognitive Accessibility and Plain Language</x:v>
      </x:c>
      <x:c r="D30" s="65" t="str">
        <x:f>'Course Catalogue'!D30</x:f>
        <x:v>Support workers, frontline leaders, service designers and communication partners</x:v>
      </x:c>
      <x:c r="E30" s="65" t="str">
        <x:f>'Course Catalogue'!E30</x:f>
        <x:v>Intermediate</x:v>
      </x:c>
      <x:c r="F30" s="65" t="n">
        <x:f>'Course Catalogue'!G30</x:f>
        <x:v>40</x:v>
      </x:c>
      <x:c r="G30" s="65" t="str">
        <x:f>'Course Catalogue'!F30</x:f>
        <x:v>Self-paced eLearning</x:v>
      </x:c>
      <x:c r="H30" s="65" t="str">
        <x:f>'Course Catalogue'!H30</x:f>
        <x:v>Scenario assessment and reflective response</x:v>
      </x:c>
      <x:c r="I30" s="65" t="str">
        <x:f>'Course Catalogue'!I30</x:f>
        <x:v>MapAble Academy Certificate of Completion (non-accredited professional development)</x:v>
      </x:c>
      <x:c r="J30" s="65" t="str">
        <x:f>'Course Catalogue'!J30</x:f>
        <x:v>24 months; confirm through provider risk assessment</x:v>
      </x:c>
      <x:c r="K30" s="65" t="str">
        <x:f>'Course Catalogue'!N30</x:f>
        <x:v>Wave 1 – Launch</x:v>
      </x:c>
      <x:c r="L30" s="65" t="str">
        <x:f>'Course Catalogue'!Q30</x:f>
        <x:v>Person-Centred Supports; Independence and Informed Choice; Communication Access</x:v>
      </x:c>
      <x:c r="M30" s="65" t="str">
        <x:f>'Course Catalogue'!S30</x:f>
        <x:v>https://www.ndiscommission.gov.au/workforce/online-training-modules</x:v>
      </x:c>
      <x:c r="N30" s="65" t="str">
        <x:f>'Course Catalogue'!T30</x:f>
        <x:v>Course mapping supports evidence and capability development; it does not guarantee provider compliance.</x:v>
      </x:c>
      <x:c r="O30" s="65" t="str">
        <x:f>'Course Catalogue'!O30</x:f>
        <x:v>Planned</x:v>
      </x:c>
    </x:row>
    <x:row r="31">
      <x:c r="A31" s="65" t="str">
        <x:f>'Course Catalogue'!A31</x:f>
        <x:v>CAI-108</x:v>
      </x:c>
      <x:c r="B31" s="65" t="str">
        <x:f>LEFT('Course Catalogue'!A31,3)</x:f>
        <x:v>CAI</x:v>
      </x:c>
      <x:c r="C31" s="65" t="str">
        <x:f>'Course Catalogue'!C31</x:f>
        <x:v>Autism, Sensory Preferences and Communication Difference</x:v>
      </x:c>
      <x:c r="D31" s="65" t="str">
        <x:f>'Course Catalogue'!D31</x:f>
        <x:v>Support workers, frontline leaders, service designers and communication partners</x:v>
      </x:c>
      <x:c r="E31" s="65" t="str">
        <x:f>'Course Catalogue'!E31</x:f>
        <x:v>Advanced</x:v>
      </x:c>
      <x:c r="F31" s="65" t="n">
        <x:f>'Course Catalogue'!G31</x:f>
        <x:v>50</x:v>
      </x:c>
      <x:c r="G31" s="65" t="str">
        <x:f>'Course Catalogue'!F31</x:f>
        <x:v>Scenario-based eLearning</x:v>
      </x:c>
      <x:c r="H31" s="65" t="str">
        <x:f>'Course Catalogue'!H31</x:f>
        <x:v>Scenario assessment and reflective response</x:v>
      </x:c>
      <x:c r="I31" s="65" t="str">
        <x:f>'Course Catalogue'!I31</x:f>
        <x:v>MapAble Academy Certificate of Completion (non-accredited professional development)</x:v>
      </x:c>
      <x:c r="J31" s="65" t="str">
        <x:f>'Course Catalogue'!J31</x:f>
        <x:v>24 months; confirm through provider risk assessment</x:v>
      </x:c>
      <x:c r="K31" s="65" t="str">
        <x:f>'Course Catalogue'!N31</x:f>
        <x:v>Wave 1 – Launch</x:v>
      </x:c>
      <x:c r="L31" s="65" t="str">
        <x:f>'Course Catalogue'!Q31</x:f>
        <x:v>Person-Centred Supports; Independence and Informed Choice; Communication Access</x:v>
      </x:c>
      <x:c r="M31" s="65" t="str">
        <x:f>'Course Catalogue'!S31</x:f>
        <x:v>https://www.ndiscommission.gov.au/workforce/online-training-modules</x:v>
      </x:c>
      <x:c r="N31" s="65" t="str">
        <x:f>'Course Catalogue'!T31</x:f>
        <x:v>Course mapping supports evidence and capability development; it does not guarantee provider compliance.</x:v>
      </x:c>
      <x:c r="O31" s="65" t="str">
        <x:f>'Course Catalogue'!O31</x:f>
        <x:v>Planned</x:v>
      </x:c>
    </x:row>
    <x:row r="32">
      <x:c r="A32" s="65" t="str">
        <x:f>'Course Catalogue'!A32</x:f>
        <x:v>CAI-109</x:v>
      </x:c>
      <x:c r="B32" s="65" t="str">
        <x:f>LEFT('Course Catalogue'!A32,3)</x:f>
        <x:v>CAI</x:v>
      </x:c>
      <x:c r="C32" s="65" t="str">
        <x:f>'Course Catalogue'!C32</x:f>
        <x:v>Working with Interpreters and Cross-Cultural Communication</x:v>
      </x:c>
      <x:c r="D32" s="65" t="str">
        <x:f>'Course Catalogue'!D32</x:f>
        <x:v>Support workers, frontline leaders, service designers and communication partners</x:v>
      </x:c>
      <x:c r="E32" s="65" t="str">
        <x:f>'Course Catalogue'!E32</x:f>
        <x:v>Advanced</x:v>
      </x:c>
      <x:c r="F32" s="65" t="n">
        <x:f>'Course Catalogue'!G32</x:f>
        <x:v>20</x:v>
      </x:c>
      <x:c r="G32" s="65" t="str">
        <x:f>'Course Catalogue'!F32</x:f>
        <x:v>Microlearning + knowledge check</x:v>
      </x:c>
      <x:c r="H32" s="65" t="str">
        <x:f>'Course Catalogue'!H32</x:f>
        <x:v>Scenario assessment and reflective response</x:v>
      </x:c>
      <x:c r="I32" s="65" t="str">
        <x:f>'Course Catalogue'!I32</x:f>
        <x:v>MapAble Academy Certificate of Completion (non-accredited professional development)</x:v>
      </x:c>
      <x:c r="J32" s="65" t="str">
        <x:f>'Course Catalogue'!J32</x:f>
        <x:v>24 months; confirm through provider risk assessment</x:v>
      </x:c>
      <x:c r="K32" s="65" t="str">
        <x:f>'Course Catalogue'!N32</x:f>
        <x:v>Wave 2 – Expansion</x:v>
      </x:c>
      <x:c r="L32" s="65" t="str">
        <x:f>'Course Catalogue'!Q32</x:f>
        <x:v>Person-Centred Supports; Independence and Informed Choice; Communication Access</x:v>
      </x:c>
      <x:c r="M32" s="65" t="str">
        <x:f>'Course Catalogue'!S32</x:f>
        <x:v>https://www.ndiscommission.gov.au/workforce/online-training-modules</x:v>
      </x:c>
      <x:c r="N32" s="65" t="str">
        <x:f>'Course Catalogue'!T32</x:f>
        <x:v>Course mapping supports evidence and capability development; it does not guarantee provider compliance.</x:v>
      </x:c>
      <x:c r="O32" s="65" t="str">
        <x:f>'Course Catalogue'!O32</x:f>
        <x:v>Planned</x:v>
      </x:c>
    </x:row>
    <x:row r="33">
      <x:c r="A33" s="65" t="str">
        <x:f>'Course Catalogue'!A33</x:f>
        <x:v>CAI-110</x:v>
      </x:c>
      <x:c r="B33" s="65" t="str">
        <x:f>LEFT('Course Catalogue'!A33,3)</x:f>
        <x:v>CAI</x:v>
      </x:c>
      <x:c r="C33" s="65" t="str">
        <x:f>'Course Catalogue'!C33</x:f>
        <x:v>Non-Violent Communication, Conflict Resolution and De-escalation</x:v>
      </x:c>
      <x:c r="D33" s="65" t="str">
        <x:f>'Course Catalogue'!D33</x:f>
        <x:v>Support workers, frontline leaders, service designers and communication partners</x:v>
      </x:c>
      <x:c r="E33" s="65" t="str">
        <x:f>'Course Catalogue'!E33</x:f>
        <x:v>Advanced</x:v>
      </x:c>
      <x:c r="F33" s="65" t="n">
        <x:f>'Course Catalogue'!G33</x:f>
        <x:v>30</x:v>
      </x:c>
      <x:c r="G33" s="65" t="str">
        <x:f>'Course Catalogue'!F33</x:f>
        <x:v>Self-paced eLearning</x:v>
      </x:c>
      <x:c r="H33" s="65" t="str">
        <x:f>'Course Catalogue'!H33</x:f>
        <x:v>Scenario assessment and reflective response</x:v>
      </x:c>
      <x:c r="I33" s="65" t="str">
        <x:f>'Course Catalogue'!I33</x:f>
        <x:v>MapAble Academy Certificate of Completion (non-accredited professional development)</x:v>
      </x:c>
      <x:c r="J33" s="65" t="str">
        <x:f>'Course Catalogue'!J33</x:f>
        <x:v>24 months; confirm through provider risk assessment</x:v>
      </x:c>
      <x:c r="K33" s="65" t="str">
        <x:f>'Course Catalogue'!N33</x:f>
        <x:v>Wave 2 – Expansion</x:v>
      </x:c>
      <x:c r="L33" s="65" t="str">
        <x:f>'Course Catalogue'!Q33</x:f>
        <x:v>Person-Centred Supports; Independence and Informed Choice; Communication Access</x:v>
      </x:c>
      <x:c r="M33" s="65" t="str">
        <x:f>'Course Catalogue'!S33</x:f>
        <x:v>https://www.ndiscommission.gov.au/workforce/online-training-modules</x:v>
      </x:c>
      <x:c r="N33" s="65" t="str">
        <x:f>'Course Catalogue'!T33</x:f>
        <x:v>Course mapping supports evidence and capability development; it does not guarantee provider compliance.</x:v>
      </x:c>
      <x:c r="O33" s="65" t="str">
        <x:f>'Course Catalogue'!O33</x:f>
        <x:v>Planned</x:v>
      </x:c>
    </x:row>
    <x:row r="34">
      <x:c r="A34" s="65" t="str">
        <x:f>'Course Catalogue'!A34</x:f>
        <x:v>PDL-101</x:v>
      </x:c>
      <x:c r="B34" s="65" t="str">
        <x:f>LEFT('Course Catalogue'!A34,3)</x:f>
        <x:v>PDL</x:v>
      </x:c>
      <x:c r="C34" s="65" t="str">
        <x:f>'Course Catalogue'!C34</x:f>
        <x:v>Infection Prevention and Control</x:v>
      </x:c>
      <x:c r="D34" s="65" t="str">
        <x:f>'Course Catalogue'!D34</x:f>
        <x:v>Support workers, frontline leaders and provider practice leads</x:v>
      </x:c>
      <x:c r="E34" s="65" t="str">
        <x:f>'Course Catalogue'!E34</x:f>
        <x:v>Foundation</x:v>
      </x:c>
      <x:c r="F34" s="65" t="n">
        <x:f>'Course Catalogue'!G34</x:f>
        <x:v>20</x:v>
      </x:c>
      <x:c r="G34" s="65" t="str">
        <x:f>'Course Catalogue'!F34</x:f>
        <x:v>Microlearning + knowledge check</x:v>
      </x:c>
      <x:c r="H34" s="65" t="str">
        <x:f>'Course Catalogue'!H34</x:f>
        <x:v>Knowledge quiz and scenario check</x:v>
      </x:c>
      <x:c r="I34" s="65" t="str">
        <x:f>'Course Catalogue'!I34</x:f>
        <x:v>MapAble Academy Certificate of Completion (non-accredited professional development)</x:v>
      </x:c>
      <x:c r="J34" s="65" t="str">
        <x:f>'Course Catalogue'!J34</x:f>
        <x:v>24 months; confirm through provider risk assessment</x:v>
      </x:c>
      <x:c r="K34" s="65" t="str">
        <x:f>'Course Catalogue'!N34</x:f>
        <x:v>Wave 1 – Launch</x:v>
      </x:c>
      <x:c r="L34" s="65" t="str">
        <x:f>'Course Catalogue'!Q34</x:f>
        <x:v>Provision of Supports; Safe Environment; Medication; Mealtime Management</x:v>
      </x:c>
      <x:c r="M34" s="65" t="str">
        <x:f>'Course Catalogue'!S34</x:f>
        <x:v>https://www.ndiscommission.gov.au/rules-and-standards/quality-practice</x:v>
      </x:c>
      <x:c r="N34" s="65" t="str">
        <x:f>'Course Catalogue'!T34</x:f>
        <x:v>Course mapping supports evidence and capability development; it does not guarantee provider compliance.</x:v>
      </x:c>
      <x:c r="O34" s="65" t="str">
        <x:f>'Course Catalogue'!O34</x:f>
        <x:v>Planned</x:v>
      </x:c>
    </x:row>
    <x:row r="35">
      <x:c r="A35" s="65" t="str">
        <x:f>'Course Catalogue'!A35</x:f>
        <x:v>PDL-102</x:v>
      </x:c>
      <x:c r="B35" s="65" t="str">
        <x:f>LEFT('Course Catalogue'!A35,3)</x:f>
        <x:v>PDL</x:v>
      </x:c>
      <x:c r="C35" s="65" t="str">
        <x:f>'Course Catalogue'!C35</x:f>
        <x:v>Hand Hygiene, PPE and Standard Precautions</x:v>
      </x:c>
      <x:c r="D35" s="65" t="str">
        <x:f>'Course Catalogue'!D35</x:f>
        <x:v>Support workers, frontline leaders and provider practice leads</x:v>
      </x:c>
      <x:c r="E35" s="65" t="str">
        <x:f>'Course Catalogue'!E35</x:f>
        <x:v>Foundation</x:v>
      </x:c>
      <x:c r="F35" s="65" t="n">
        <x:f>'Course Catalogue'!G35</x:f>
        <x:v>30</x:v>
      </x:c>
      <x:c r="G35" s="65" t="str">
        <x:f>'Course Catalogue'!F35</x:f>
        <x:v>Self-paced eLearning</x:v>
      </x:c>
      <x:c r="H35" s="65" t="str">
        <x:f>'Course Catalogue'!H35</x:f>
        <x:v>Knowledge quiz and scenario check</x:v>
      </x:c>
      <x:c r="I35" s="65" t="str">
        <x:f>'Course Catalogue'!I35</x:f>
        <x:v>MapAble Academy Certificate of Completion (non-accredited professional development)</x:v>
      </x:c>
      <x:c r="J35" s="65" t="str">
        <x:f>'Course Catalogue'!J35</x:f>
        <x:v>24 months; confirm through provider risk assessment</x:v>
      </x:c>
      <x:c r="K35" s="65" t="str">
        <x:f>'Course Catalogue'!N35</x:f>
        <x:v>Wave 1 – Launch</x:v>
      </x:c>
      <x:c r="L35" s="65" t="str">
        <x:f>'Course Catalogue'!Q35</x:f>
        <x:v>Provision of Supports; Safe Environment; Medication; Mealtime Management</x:v>
      </x:c>
      <x:c r="M35" s="65" t="str">
        <x:f>'Course Catalogue'!S35</x:f>
        <x:v>https://www.ndiscommission.gov.au/rules-and-standards/quality-practice</x:v>
      </x:c>
      <x:c r="N35" s="65" t="str">
        <x:f>'Course Catalogue'!T35</x:f>
        <x:v>Course mapping supports evidence and capability development; it does not guarantee provider compliance.</x:v>
      </x:c>
      <x:c r="O35" s="65" t="str">
        <x:f>'Course Catalogue'!O35</x:f>
        <x:v>Planned</x:v>
      </x:c>
    </x:row>
    <x:row r="36">
      <x:c r="A36" s="65" t="str">
        <x:f>'Course Catalogue'!A36</x:f>
        <x:v>PDL-103</x:v>
      </x:c>
      <x:c r="B36" s="65" t="str">
        <x:f>LEFT('Course Catalogue'!A36,3)</x:f>
        <x:v>PDL</x:v>
      </x:c>
      <x:c r="C36" s="65" t="str">
        <x:f>'Course Catalogue'!C36</x:f>
        <x:v>Personal Care with Privacy, Choice and Respect</x:v>
      </x:c>
      <x:c r="D36" s="65" t="str">
        <x:f>'Course Catalogue'!D36</x:f>
        <x:v>Support workers, frontline leaders and provider practice leads</x:v>
      </x:c>
      <x:c r="E36" s="65" t="str">
        <x:f>'Course Catalogue'!E36</x:f>
        <x:v>Foundation</x:v>
      </x:c>
      <x:c r="F36" s="65" t="n">
        <x:f>'Course Catalogue'!G36</x:f>
        <x:v>40</x:v>
      </x:c>
      <x:c r="G36" s="65" t="str">
        <x:f>'Course Catalogue'!F36</x:f>
        <x:v>Self-paced eLearning</x:v>
      </x:c>
      <x:c r="H36" s="65" t="str">
        <x:f>'Course Catalogue'!H36</x:f>
        <x:v>Knowledge quiz and scenario check</x:v>
      </x:c>
      <x:c r="I36" s="65" t="str">
        <x:f>'Course Catalogue'!I36</x:f>
        <x:v>MapAble Academy Certificate of Completion (non-accredited professional development)</x:v>
      </x:c>
      <x:c r="J36" s="65" t="str">
        <x:f>'Course Catalogue'!J36</x:f>
        <x:v>24 months; confirm through provider risk assessment</x:v>
      </x:c>
      <x:c r="K36" s="65" t="str">
        <x:f>'Course Catalogue'!N36</x:f>
        <x:v>Wave 1 – Launch</x:v>
      </x:c>
      <x:c r="L36" s="65" t="str">
        <x:f>'Course Catalogue'!Q36</x:f>
        <x:v>Provision of Supports; Safe Environment; Medication; Mealtime Management</x:v>
      </x:c>
      <x:c r="M36" s="65" t="str">
        <x:f>'Course Catalogue'!S36</x:f>
        <x:v>https://www.ndiscommission.gov.au/rules-and-standards/quality-practice</x:v>
      </x:c>
      <x:c r="N36" s="65" t="str">
        <x:f>'Course Catalogue'!T36</x:f>
        <x:v>Course mapping supports evidence and capability development; it does not guarantee provider compliance.</x:v>
      </x:c>
      <x:c r="O36" s="65" t="str">
        <x:f>'Course Catalogue'!O36</x:f>
        <x:v>Planned</x:v>
      </x:c>
    </x:row>
    <x:row r="37">
      <x:c r="A37" s="65" t="str">
        <x:f>'Course Catalogue'!A37</x:f>
        <x:v>PDL-104</x:v>
      </x:c>
      <x:c r="B37" s="65" t="str">
        <x:f>LEFT('Course Catalogue'!A37,3)</x:f>
        <x:v>PDL</x:v>
      </x:c>
      <x:c r="C37" s="65" t="str">
        <x:f>'Course Catalogue'!C37</x:f>
        <x:v>Safer Movement, Transfers and Manual Handling</x:v>
      </x:c>
      <x:c r="D37" s="65" t="str">
        <x:f>'Course Catalogue'!D37</x:f>
        <x:v>Support workers, frontline leaders and provider practice leads</x:v>
      </x:c>
      <x:c r="E37" s="65" t="str">
        <x:f>'Course Catalogue'!E37</x:f>
        <x:v>Intermediate</x:v>
      </x:c>
      <x:c r="F37" s="65" t="n">
        <x:f>'Course Catalogue'!G37</x:f>
        <x:v>50</x:v>
      </x:c>
      <x:c r="G37" s="65" t="str">
        <x:f>'Course Catalogue'!F37</x:f>
        <x:v>Scenario-based eLearning</x:v>
      </x:c>
      <x:c r="H37" s="65" t="str">
        <x:f>'Course Catalogue'!H37</x:f>
        <x:v>Knowledge quiz and scenario check</x:v>
      </x:c>
      <x:c r="I37" s="65" t="str">
        <x:f>'Course Catalogue'!I37</x:f>
        <x:v>MapAble Academy Certificate of Completion (non-accredited professional development)</x:v>
      </x:c>
      <x:c r="J37" s="65" t="str">
        <x:f>'Course Catalogue'!J37</x:f>
        <x:v>24 months; confirm through provider risk assessment</x:v>
      </x:c>
      <x:c r="K37" s="65" t="str">
        <x:f>'Course Catalogue'!N37</x:f>
        <x:v>Wave 1 – Launch</x:v>
      </x:c>
      <x:c r="L37" s="65" t="str">
        <x:f>'Course Catalogue'!Q37</x:f>
        <x:v>Provision of Supports; Safe Environment; Medication; Mealtime Management</x:v>
      </x:c>
      <x:c r="M37" s="65" t="str">
        <x:f>'Course Catalogue'!S37</x:f>
        <x:v>https://www.ndiscommission.gov.au/rules-and-standards/quality-practice</x:v>
      </x:c>
      <x:c r="N37" s="65" t="str">
        <x:f>'Course Catalogue'!T37</x:f>
        <x:v>Course mapping supports evidence and capability development; it does not guarantee provider compliance.</x:v>
      </x:c>
      <x:c r="O37" s="65" t="str">
        <x:f>'Course Catalogue'!O37</x:f>
        <x:v>Planned</x:v>
      </x:c>
    </x:row>
    <x:row r="38">
      <x:c r="A38" s="65" t="str">
        <x:f>'Course Catalogue'!A38</x:f>
        <x:v>PDL-105</x:v>
      </x:c>
      <x:c r="B38" s="65" t="str">
        <x:f>LEFT('Course Catalogue'!A38,3)</x:f>
        <x:v>PDL</x:v>
      </x:c>
      <x:c r="C38" s="65" t="str">
        <x:f>'Course Catalogue'!C38</x:f>
        <x:v>Hoists, Wheelchairs and Assistive Equipment Safety</x:v>
      </x:c>
      <x:c r="D38" s="65" t="str">
        <x:f>'Course Catalogue'!D38</x:f>
        <x:v>Support workers, frontline leaders and provider practice leads</x:v>
      </x:c>
      <x:c r="E38" s="65" t="str">
        <x:f>'Course Catalogue'!E38</x:f>
        <x:v>Intermediate</x:v>
      </x:c>
      <x:c r="F38" s="65" t="n">
        <x:f>'Course Catalogue'!G38</x:f>
        <x:v>20</x:v>
      </x:c>
      <x:c r="G38" s="65" t="str">
        <x:f>'Course Catalogue'!F38</x:f>
        <x:v>Microlearning + knowledge check</x:v>
      </x:c>
      <x:c r="H38" s="65" t="str">
        <x:f>'Course Catalogue'!H38</x:f>
        <x:v>Knowledge quiz and scenario check</x:v>
      </x:c>
      <x:c r="I38" s="65" t="str">
        <x:f>'Course Catalogue'!I38</x:f>
        <x:v>MapAble Academy Certificate of Completion (non-accredited professional development)</x:v>
      </x:c>
      <x:c r="J38" s="65" t="str">
        <x:f>'Course Catalogue'!J38</x:f>
        <x:v>24 months; confirm through provider risk assessment</x:v>
      </x:c>
      <x:c r="K38" s="65" t="str">
        <x:f>'Course Catalogue'!N38</x:f>
        <x:v>Wave 1 – Launch</x:v>
      </x:c>
      <x:c r="L38" s="65" t="str">
        <x:f>'Course Catalogue'!Q38</x:f>
        <x:v>Provision of Supports; Safe Environment; Medication; Mealtime Management</x:v>
      </x:c>
      <x:c r="M38" s="65" t="str">
        <x:f>'Course Catalogue'!S38</x:f>
        <x:v>https://www.ndiscommission.gov.au/rules-and-standards/quality-practice</x:v>
      </x:c>
      <x:c r="N38" s="65" t="str">
        <x:f>'Course Catalogue'!T38</x:f>
        <x:v>Course mapping supports evidence and capability development; it does not guarantee provider compliance.</x:v>
      </x:c>
      <x:c r="O38" s="65" t="str">
        <x:f>'Course Catalogue'!O38</x:f>
        <x:v>Planned</x:v>
      </x:c>
    </x:row>
    <x:row r="39">
      <x:c r="A39" s="65" t="str">
        <x:f>'Course Catalogue'!A39</x:f>
        <x:v>PDL-106</x:v>
      </x:c>
      <x:c r="B39" s="65" t="str">
        <x:f>LEFT('Course Catalogue'!A39,3)</x:f>
        <x:v>PDL</x:v>
      </x:c>
      <x:c r="C39" s="65" t="str">
        <x:f>'Course Catalogue'!C39</x:f>
        <x:v>Supporting People to Take Medication</x:v>
      </x:c>
      <x:c r="D39" s="65" t="str">
        <x:f>'Course Catalogue'!D39</x:f>
        <x:v>Support workers, frontline leaders and provider practice leads</x:v>
      </x:c>
      <x:c r="E39" s="65" t="str">
        <x:f>'Course Catalogue'!E39</x:f>
        <x:v>Intermediate</x:v>
      </x:c>
      <x:c r="F39" s="65" t="n">
        <x:f>'Course Catalogue'!G39</x:f>
        <x:v>30</x:v>
      </x:c>
      <x:c r="G39" s="65" t="str">
        <x:f>'Course Catalogue'!F39</x:f>
        <x:v>Self-paced eLearning</x:v>
      </x:c>
      <x:c r="H39" s="65" t="str">
        <x:f>'Course Catalogue'!H39</x:f>
        <x:v>Knowledge quiz and scenario check</x:v>
      </x:c>
      <x:c r="I39" s="65" t="str">
        <x:f>'Course Catalogue'!I39</x:f>
        <x:v>MapAble Academy Certificate of Completion (non-accredited professional development)</x:v>
      </x:c>
      <x:c r="J39" s="65" t="str">
        <x:f>'Course Catalogue'!J39</x:f>
        <x:v>12 months; confirm through provider risk assessment</x:v>
      </x:c>
      <x:c r="K39" s="65" t="str">
        <x:f>'Course Catalogue'!N39</x:f>
        <x:v>Wave 1 – Launch</x:v>
      </x:c>
      <x:c r="L39" s="65" t="str">
        <x:f>'Course Catalogue'!Q39</x:f>
        <x:v>Provision of Supports; Safe Environment; Medication; Mealtime Management</x:v>
      </x:c>
      <x:c r="M39" s="65" t="str">
        <x:f>'Course Catalogue'!S39</x:f>
        <x:v>https://www.ndiscommission.gov.au/rules-and-standards/quality-practice</x:v>
      </x:c>
      <x:c r="N39" s="65" t="str">
        <x:f>'Course Catalogue'!T39</x:f>
        <x:v>Course mapping supports evidence and capability development; it does not guarantee provider compliance.</x:v>
      </x:c>
      <x:c r="O39" s="65" t="str">
        <x:f>'Course Catalogue'!O39</x:f>
        <x:v>Planned</x:v>
      </x:c>
    </x:row>
    <x:row r="40">
      <x:c r="A40" s="65" t="str">
        <x:f>'Course Catalogue'!A40</x:f>
        <x:v>PDL-107</x:v>
      </x:c>
      <x:c r="B40" s="65" t="str">
        <x:f>LEFT('Course Catalogue'!A40,3)</x:f>
        <x:v>PDL</x:v>
      </x:c>
      <x:c r="C40" s="65" t="str">
        <x:f>'Course Catalogue'!C40</x:f>
        <x:v>Safe and Enjoyable Meals and Dysphagia Awareness</x:v>
      </x:c>
      <x:c r="D40" s="65" t="str">
        <x:f>'Course Catalogue'!D40</x:f>
        <x:v>Support workers, frontline leaders and provider practice leads</x:v>
      </x:c>
      <x:c r="E40" s="65" t="str">
        <x:f>'Course Catalogue'!E40</x:f>
        <x:v>Intermediate</x:v>
      </x:c>
      <x:c r="F40" s="65" t="n">
        <x:f>'Course Catalogue'!G40</x:f>
        <x:v>40</x:v>
      </x:c>
      <x:c r="G40" s="65" t="str">
        <x:f>'Course Catalogue'!F40</x:f>
        <x:v>Self-paced eLearning</x:v>
      </x:c>
      <x:c r="H40" s="65" t="str">
        <x:f>'Course Catalogue'!H40</x:f>
        <x:v>Knowledge quiz and scenario check</x:v>
      </x:c>
      <x:c r="I40" s="65" t="str">
        <x:f>'Course Catalogue'!I40</x:f>
        <x:v>MapAble Academy Certificate of Completion (non-accredited professional development)</x:v>
      </x:c>
      <x:c r="J40" s="65" t="str">
        <x:f>'Course Catalogue'!J40</x:f>
        <x:v>12 months; confirm through provider risk assessment</x:v>
      </x:c>
      <x:c r="K40" s="65" t="str">
        <x:f>'Course Catalogue'!N40</x:f>
        <x:v>Wave 3 – Specialist</x:v>
      </x:c>
      <x:c r="L40" s="65" t="str">
        <x:f>'Course Catalogue'!Q40</x:f>
        <x:v>Provision of Supports; Safe Environment; Medication; Mealtime Management</x:v>
      </x:c>
      <x:c r="M40" s="65" t="str">
        <x:f>'Course Catalogue'!S40</x:f>
        <x:v>https://www.ndiscommission.gov.au/rules-and-standards/quality-practice</x:v>
      </x:c>
      <x:c r="N40" s="65" t="str">
        <x:f>'Course Catalogue'!T40</x:f>
        <x:v>Course mapping supports evidence and capability development; it does not guarantee provider compliance.</x:v>
      </x:c>
      <x:c r="O40" s="65" t="str">
        <x:f>'Course Catalogue'!O40</x:f>
        <x:v>Planned</x:v>
      </x:c>
    </x:row>
    <x:row r="41">
      <x:c r="A41" s="65" t="str">
        <x:f>'Course Catalogue'!A41</x:f>
        <x:v>PDL-108</x:v>
      </x:c>
      <x:c r="B41" s="65" t="str">
        <x:f>LEFT('Course Catalogue'!A41,3)</x:f>
        <x:v>PDL</x:v>
      </x:c>
      <x:c r="C41" s="65" t="str">
        <x:f>'Course Catalogue'!C41</x:f>
        <x:v>Nutrition, Hydration and Recognising Deterioration</x:v>
      </x:c>
      <x:c r="D41" s="65" t="str">
        <x:f>'Course Catalogue'!D41</x:f>
        <x:v>Support workers, frontline leaders and provider practice leads</x:v>
      </x:c>
      <x:c r="E41" s="65" t="str">
        <x:f>'Course Catalogue'!E41</x:f>
        <x:v>Advanced</x:v>
      </x:c>
      <x:c r="F41" s="65" t="n">
        <x:f>'Course Catalogue'!G41</x:f>
        <x:v>50</x:v>
      </x:c>
      <x:c r="G41" s="65" t="str">
        <x:f>'Course Catalogue'!F41</x:f>
        <x:v>Scenario-based eLearning</x:v>
      </x:c>
      <x:c r="H41" s="65" t="str">
        <x:f>'Course Catalogue'!H41</x:f>
        <x:v>Knowledge quiz and scenario check</x:v>
      </x:c>
      <x:c r="I41" s="65" t="str">
        <x:f>'Course Catalogue'!I41</x:f>
        <x:v>MapAble Academy Certificate of Completion (non-accredited professional development)</x:v>
      </x:c>
      <x:c r="J41" s="65" t="str">
        <x:f>'Course Catalogue'!J41</x:f>
        <x:v>12 months; confirm through provider risk assessment</x:v>
      </x:c>
      <x:c r="K41" s="65" t="str">
        <x:f>'Course Catalogue'!N41</x:f>
        <x:v>Wave 3 – Specialist</x:v>
      </x:c>
      <x:c r="L41" s="65" t="str">
        <x:f>'Course Catalogue'!Q41</x:f>
        <x:v>Provision of Supports; Safe Environment; Medication; Mealtime Management</x:v>
      </x:c>
      <x:c r="M41" s="65" t="str">
        <x:f>'Course Catalogue'!S41</x:f>
        <x:v>https://www.ndiscommission.gov.au/rules-and-standards/quality-practice</x:v>
      </x:c>
      <x:c r="N41" s="65" t="str">
        <x:f>'Course Catalogue'!T41</x:f>
        <x:v>Course mapping supports evidence and capability development; it does not guarantee provider compliance.</x:v>
      </x:c>
      <x:c r="O41" s="65" t="str">
        <x:f>'Course Catalogue'!O41</x:f>
        <x:v>Planned</x:v>
      </x:c>
    </x:row>
    <x:row r="42">
      <x:c r="A42" s="65" t="str">
        <x:f>'Course Catalogue'!A42</x:f>
        <x:v>PDL-109</x:v>
      </x:c>
      <x:c r="B42" s="65" t="str">
        <x:f>LEFT('Course Catalogue'!A42,3)</x:f>
        <x:v>PDL</x:v>
      </x:c>
      <x:c r="C42" s="65" t="str">
        <x:f>'Course Catalogue'!C42</x:f>
        <x:v>Oral Health and Daily Support</x:v>
      </x:c>
      <x:c r="D42" s="65" t="str">
        <x:f>'Course Catalogue'!D42</x:f>
        <x:v>Support workers, frontline leaders and provider practice leads</x:v>
      </x:c>
      <x:c r="E42" s="65" t="str">
        <x:f>'Course Catalogue'!E42</x:f>
        <x:v>Advanced</x:v>
      </x:c>
      <x:c r="F42" s="65" t="n">
        <x:f>'Course Catalogue'!G42</x:f>
        <x:v>20</x:v>
      </x:c>
      <x:c r="G42" s="65" t="str">
        <x:f>'Course Catalogue'!F42</x:f>
        <x:v>Microlearning + knowledge check</x:v>
      </x:c>
      <x:c r="H42" s="65" t="str">
        <x:f>'Course Catalogue'!H42</x:f>
        <x:v>Knowledge quiz and scenario check</x:v>
      </x:c>
      <x:c r="I42" s="65" t="str">
        <x:f>'Course Catalogue'!I42</x:f>
        <x:v>MapAble Academy Certificate of Completion (non-accredited professional development)</x:v>
      </x:c>
      <x:c r="J42" s="65" t="str">
        <x:f>'Course Catalogue'!J42</x:f>
        <x:v>12 months; confirm through provider risk assessment</x:v>
      </x:c>
      <x:c r="K42" s="65" t="str">
        <x:f>'Course Catalogue'!N42</x:f>
        <x:v>Wave 3 – Specialist</x:v>
      </x:c>
      <x:c r="L42" s="65" t="str">
        <x:f>'Course Catalogue'!Q42</x:f>
        <x:v>Provision of Supports; Safe Environment; Medication; Mealtime Management</x:v>
      </x:c>
      <x:c r="M42" s="65" t="str">
        <x:f>'Course Catalogue'!S42</x:f>
        <x:v>https://www.ndiscommission.gov.au/rules-and-standards/quality-practice</x:v>
      </x:c>
      <x:c r="N42" s="65" t="str">
        <x:f>'Course Catalogue'!T42</x:f>
        <x:v>Course mapping supports evidence and capability development; it does not guarantee provider compliance.</x:v>
      </x:c>
      <x:c r="O42" s="65" t="str">
        <x:f>'Course Catalogue'!O42</x:f>
        <x:v>Planned</x:v>
      </x:c>
    </x:row>
    <x:row r="43">
      <x:c r="A43" s="65" t="str">
        <x:f>'Course Catalogue'!A43</x:f>
        <x:v>PDL-110</x:v>
      </x:c>
      <x:c r="B43" s="65" t="str">
        <x:f>LEFT('Course Catalogue'!A43,3)</x:f>
        <x:v>PDL</x:v>
      </x:c>
      <x:c r="C43" s="65" t="str">
        <x:f>'Course Catalogue'!C43</x:f>
        <x:v>Skin Integrity, Pressure Care and Continence Support</x:v>
      </x:c>
      <x:c r="D43" s="65" t="str">
        <x:f>'Course Catalogue'!D43</x:f>
        <x:v>Support workers, frontline leaders and provider practice leads</x:v>
      </x:c>
      <x:c r="E43" s="65" t="str">
        <x:f>'Course Catalogue'!E43</x:f>
        <x:v>Advanced</x:v>
      </x:c>
      <x:c r="F43" s="65" t="n">
        <x:f>'Course Catalogue'!G43</x:f>
        <x:v>30</x:v>
      </x:c>
      <x:c r="G43" s="65" t="str">
        <x:f>'Course Catalogue'!F43</x:f>
        <x:v>Self-paced eLearning</x:v>
      </x:c>
      <x:c r="H43" s="65" t="str">
        <x:f>'Course Catalogue'!H43</x:f>
        <x:v>Knowledge quiz and scenario check</x:v>
      </x:c>
      <x:c r="I43" s="65" t="str">
        <x:f>'Course Catalogue'!I43</x:f>
        <x:v>MapAble Academy Certificate of Completion (non-accredited professional development)</x:v>
      </x:c>
      <x:c r="J43" s="65" t="str">
        <x:f>'Course Catalogue'!J43</x:f>
        <x:v>12 months; confirm through provider risk assessment</x:v>
      </x:c>
      <x:c r="K43" s="65" t="str">
        <x:f>'Course Catalogue'!N43</x:f>
        <x:v>Wave 3 – Specialist</x:v>
      </x:c>
      <x:c r="L43" s="65" t="str">
        <x:f>'Course Catalogue'!Q43</x:f>
        <x:v>Provision of Supports; Safe Environment; Medication; Mealtime Management</x:v>
      </x:c>
      <x:c r="M43" s="65" t="str">
        <x:f>'Course Catalogue'!S43</x:f>
        <x:v>https://www.ndiscommission.gov.au/rules-and-standards/quality-practice</x:v>
      </x:c>
      <x:c r="N43" s="65" t="str">
        <x:f>'Course Catalogue'!T43</x:f>
        <x:v>Course mapping supports evidence and capability development; it does not guarantee provider compliance.</x:v>
      </x:c>
      <x:c r="O43" s="65" t="str">
        <x:f>'Course Catalogue'!O43</x:f>
        <x:v>Planned</x:v>
      </x:c>
    </x:row>
    <x:row r="44">
      <x:c r="A44" s="65" t="str">
        <x:f>'Course Catalogue'!A44</x:f>
        <x:v>HIS-101</x:v>
      </x:c>
      <x:c r="B44" s="65" t="str">
        <x:f>LEFT('Course Catalogue'!A44,3)</x:f>
        <x:v>HIS</x:v>
      </x:c>
      <x:c r="C44" s="65" t="str">
        <x:f>'Course Catalogue'!C44</x:f>
        <x:v>High Intensity Supports: Roles, Plans and Escalation</x:v>
      </x:c>
      <x:c r="D44" s="65" t="str">
        <x:f>'Course Catalogue'!D44</x:f>
        <x:v>Experienced workers, clinical leads, supervisors and qualified assessors</x:v>
      </x:c>
      <x:c r="E44" s="65" t="str">
        <x:f>'Course Catalogue'!E44</x:f>
        <x:v>Intermediate</x:v>
      </x:c>
      <x:c r="F44" s="65" t="n">
        <x:f>'Course Catalogue'!G44</x:f>
        <x:v>60</x:v>
      </x:c>
      <x:c r="G44" s="65" t="str">
        <x:f>'Course Catalogue'!F44</x:f>
        <x:v>Blended theory + external practical assessment</x:v>
      </x:c>
      <x:c r="H44" s="65" t="str">
        <x:f>'Course Catalogue'!H44</x:f>
        <x:v>Knowledge assessment; participant-specific practical competency assessed separately</x:v>
      </x:c>
      <x:c r="I44" s="65" t="str">
        <x:f>'Course Catalogue'!I44</x:f>
        <x:v>MapAble Academy Certificate of Completion (non-accredited professional development)</x:v>
      </x:c>
      <x:c r="J44" s="65" t="str">
        <x:f>'Course Catalogue'!J44</x:f>
        <x:v>12 months; confirm through provider risk assessment</x:v>
      </x:c>
      <x:c r="K44" s="65" t="str">
        <x:f>'Course Catalogue'!N44</x:f>
        <x:v>Wave 3 – Specialist</x:v>
      </x:c>
      <x:c r="L44" s="65" t="str">
        <x:f>'Course Catalogue'!Q44</x:f>
        <x:v>High Intensity Daily Personal Activities; Participant-Specific Training</x:v>
      </x:c>
      <x:c r="M44" s="65" t="str">
        <x:f>'Course Catalogue'!S44</x:f>
        <x:v>https://www.ndiscommission.gov.au/rules-and-standards/ndis-practice-standards/supplementary-module-high-intensity-daily-personal</x:v>
      </x:c>
      <x:c r="N44" s="65" t="str">
        <x:f>'Course Catalogue'!T44</x:f>
        <x:v>Theory completion does not authorise delivery or establish competency. Practical assessment and participant-specific training remain separate.</x:v>
      </x:c>
      <x:c r="O44" s="65" t="str">
        <x:f>'Course Catalogue'!O44</x:f>
        <x:v>Planned</x:v>
      </x:c>
    </x:row>
    <x:row r="45">
      <x:c r="A45" s="65" t="str">
        <x:f>'Course Catalogue'!A45</x:f>
        <x:v>HIS-102</x:v>
      </x:c>
      <x:c r="B45" s="65" t="str">
        <x:f>LEFT('Course Catalogue'!A45,3)</x:f>
        <x:v>HIS</x:v>
      </x:c>
      <x:c r="C45" s="65" t="str">
        <x:f>'Course Catalogue'!C45</x:f>
        <x:v>Complex Bowel Care Knowledge</x:v>
      </x:c>
      <x:c r="D45" s="65" t="str">
        <x:f>'Course Catalogue'!D45</x:f>
        <x:v>Experienced workers, clinical leads, supervisors and qualified assessors</x:v>
      </x:c>
      <x:c r="E45" s="65" t="str">
        <x:f>'Course Catalogue'!E45</x:f>
        <x:v>Intermediate</x:v>
      </x:c>
      <x:c r="F45" s="65" t="n">
        <x:f>'Course Catalogue'!G45</x:f>
        <x:v>60</x:v>
      </x:c>
      <x:c r="G45" s="65" t="str">
        <x:f>'Course Catalogue'!F45</x:f>
        <x:v>Blended theory + external practical assessment</x:v>
      </x:c>
      <x:c r="H45" s="65" t="str">
        <x:f>'Course Catalogue'!H45</x:f>
        <x:v>Knowledge assessment; participant-specific practical competency assessed separately</x:v>
      </x:c>
      <x:c r="I45" s="65" t="str">
        <x:f>'Course Catalogue'!I45</x:f>
        <x:v>MapAble Academy Certificate of Completion (non-accredited professional development)</x:v>
      </x:c>
      <x:c r="J45" s="65" t="str">
        <x:f>'Course Catalogue'!J45</x:f>
        <x:v>12 months; confirm through provider risk assessment</x:v>
      </x:c>
      <x:c r="K45" s="65" t="str">
        <x:f>'Course Catalogue'!N45</x:f>
        <x:v>Wave 3 – Specialist</x:v>
      </x:c>
      <x:c r="L45" s="65" t="str">
        <x:f>'Course Catalogue'!Q45</x:f>
        <x:v>High Intensity Daily Personal Activities; Participant-Specific Training</x:v>
      </x:c>
      <x:c r="M45" s="65" t="str">
        <x:f>'Course Catalogue'!S45</x:f>
        <x:v>https://www.ndiscommission.gov.au/rules-and-standards/ndis-practice-standards/supplementary-module-high-intensity-daily-personal</x:v>
      </x:c>
      <x:c r="N45" s="65" t="str">
        <x:f>'Course Catalogue'!T45</x:f>
        <x:v>Theory completion does not authorise delivery or establish competency. Practical assessment and participant-specific training remain separate.</x:v>
      </x:c>
      <x:c r="O45" s="65" t="str">
        <x:f>'Course Catalogue'!O45</x:f>
        <x:v>Planned</x:v>
      </x:c>
    </x:row>
    <x:row r="46">
      <x:c r="A46" s="65" t="str">
        <x:f>'Course Catalogue'!A46</x:f>
        <x:v>HIS-103</x:v>
      </x:c>
      <x:c r="B46" s="65" t="str">
        <x:f>LEFT('Course Catalogue'!A46,3)</x:f>
        <x:v>HIS</x:v>
      </x:c>
      <x:c r="C46" s="65" t="str">
        <x:f>'Course Catalogue'!C46</x:f>
        <x:v>Enteral Feeding and Management Knowledge</x:v>
      </x:c>
      <x:c r="D46" s="65" t="str">
        <x:f>'Course Catalogue'!D46</x:f>
        <x:v>Experienced workers, clinical leads, supervisors and qualified assessors</x:v>
      </x:c>
      <x:c r="E46" s="65" t="str">
        <x:f>'Course Catalogue'!E46</x:f>
        <x:v>Advanced</x:v>
      </x:c>
      <x:c r="F46" s="65" t="n">
        <x:f>'Course Catalogue'!G46</x:f>
        <x:v>60</x:v>
      </x:c>
      <x:c r="G46" s="65" t="str">
        <x:f>'Course Catalogue'!F46</x:f>
        <x:v>Blended theory + external practical assessment</x:v>
      </x:c>
      <x:c r="H46" s="65" t="str">
        <x:f>'Course Catalogue'!H46</x:f>
        <x:v>Knowledge assessment; participant-specific practical competency assessed separately</x:v>
      </x:c>
      <x:c r="I46" s="65" t="str">
        <x:f>'Course Catalogue'!I46</x:f>
        <x:v>MapAble Academy Certificate of Completion (non-accredited professional development)</x:v>
      </x:c>
      <x:c r="J46" s="65" t="str">
        <x:f>'Course Catalogue'!J46</x:f>
        <x:v>12 months; confirm through provider risk assessment</x:v>
      </x:c>
      <x:c r="K46" s="65" t="str">
        <x:f>'Course Catalogue'!N46</x:f>
        <x:v>Wave 3 – Specialist</x:v>
      </x:c>
      <x:c r="L46" s="65" t="str">
        <x:f>'Course Catalogue'!Q46</x:f>
        <x:v>High Intensity Daily Personal Activities; Participant-Specific Training</x:v>
      </x:c>
      <x:c r="M46" s="65" t="str">
        <x:f>'Course Catalogue'!S46</x:f>
        <x:v>https://www.ndiscommission.gov.au/rules-and-standards/ndis-practice-standards/supplementary-module-high-intensity-daily-personal</x:v>
      </x:c>
      <x:c r="N46" s="65" t="str">
        <x:f>'Course Catalogue'!T46</x:f>
        <x:v>Theory completion does not authorise delivery or establish competency. Practical assessment and participant-specific training remain separate.</x:v>
      </x:c>
      <x:c r="O46" s="65" t="str">
        <x:f>'Course Catalogue'!O46</x:f>
        <x:v>Planned</x:v>
      </x:c>
    </x:row>
    <x:row r="47">
      <x:c r="A47" s="65" t="str">
        <x:f>'Course Catalogue'!A47</x:f>
        <x:v>HIS-104</x:v>
      </x:c>
      <x:c r="B47" s="65" t="str">
        <x:f>LEFT('Course Catalogue'!A47,3)</x:f>
        <x:v>HIS</x:v>
      </x:c>
      <x:c r="C47" s="65" t="str">
        <x:f>'Course Catalogue'!C47</x:f>
        <x:v>Severe Dysphagia Management Knowledge</x:v>
      </x:c>
      <x:c r="D47" s="65" t="str">
        <x:f>'Course Catalogue'!D47</x:f>
        <x:v>Experienced workers, clinical leads, supervisors and qualified assessors</x:v>
      </x:c>
      <x:c r="E47" s="65" t="str">
        <x:f>'Course Catalogue'!E47</x:f>
        <x:v>Advanced</x:v>
      </x:c>
      <x:c r="F47" s="65" t="n">
        <x:f>'Course Catalogue'!G47</x:f>
        <x:v>60</x:v>
      </x:c>
      <x:c r="G47" s="65" t="str">
        <x:f>'Course Catalogue'!F47</x:f>
        <x:v>Blended theory + external practical assessment</x:v>
      </x:c>
      <x:c r="H47" s="65" t="str">
        <x:f>'Course Catalogue'!H47</x:f>
        <x:v>Knowledge assessment; participant-specific practical competency assessed separately</x:v>
      </x:c>
      <x:c r="I47" s="65" t="str">
        <x:f>'Course Catalogue'!I47</x:f>
        <x:v>MapAble Academy Certificate of Completion (non-accredited professional development)</x:v>
      </x:c>
      <x:c r="J47" s="65" t="str">
        <x:f>'Course Catalogue'!J47</x:f>
        <x:v>12 months; confirm through provider risk assessment</x:v>
      </x:c>
      <x:c r="K47" s="65" t="str">
        <x:f>'Course Catalogue'!N47</x:f>
        <x:v>Wave 3 – Specialist</x:v>
      </x:c>
      <x:c r="L47" s="65" t="str">
        <x:f>'Course Catalogue'!Q47</x:f>
        <x:v>High Intensity Daily Personal Activities; Participant-Specific Training</x:v>
      </x:c>
      <x:c r="M47" s="65" t="str">
        <x:f>'Course Catalogue'!S47</x:f>
        <x:v>https://www.ndiscommission.gov.au/rules-and-standards/ndis-practice-standards/supplementary-module-high-intensity-daily-personal</x:v>
      </x:c>
      <x:c r="N47" s="65" t="str">
        <x:f>'Course Catalogue'!T47</x:f>
        <x:v>Theory completion does not authorise delivery or establish competency. Practical assessment and participant-specific training remain separate.</x:v>
      </x:c>
      <x:c r="O47" s="65" t="str">
        <x:f>'Course Catalogue'!O47</x:f>
        <x:v>Planned</x:v>
      </x:c>
    </x:row>
    <x:row r="48">
      <x:c r="A48" s="65" t="str">
        <x:f>'Course Catalogue'!A48</x:f>
        <x:v>HIS-105</x:v>
      </x:c>
      <x:c r="B48" s="65" t="str">
        <x:f>LEFT('Course Catalogue'!A48,3)</x:f>
        <x:v>HIS</x:v>
      </x:c>
      <x:c r="C48" s="65" t="str">
        <x:f>'Course Catalogue'!C48</x:f>
        <x:v>Tracheostomy Management Knowledge</x:v>
      </x:c>
      <x:c r="D48" s="65" t="str">
        <x:f>'Course Catalogue'!D48</x:f>
        <x:v>Experienced workers, clinical leads, supervisors and qualified assessors</x:v>
      </x:c>
      <x:c r="E48" s="65" t="str">
        <x:f>'Course Catalogue'!E48</x:f>
        <x:v>Advanced</x:v>
      </x:c>
      <x:c r="F48" s="65" t="n">
        <x:f>'Course Catalogue'!G48</x:f>
        <x:v>60</x:v>
      </x:c>
      <x:c r="G48" s="65" t="str">
        <x:f>'Course Catalogue'!F48</x:f>
        <x:v>Blended theory + external practical assessment</x:v>
      </x:c>
      <x:c r="H48" s="65" t="str">
        <x:f>'Course Catalogue'!H48</x:f>
        <x:v>Knowledge assessment; participant-specific practical competency assessed separately</x:v>
      </x:c>
      <x:c r="I48" s="65" t="str">
        <x:f>'Course Catalogue'!I48</x:f>
        <x:v>MapAble Academy Certificate of Completion (non-accredited professional development)</x:v>
      </x:c>
      <x:c r="J48" s="65" t="str">
        <x:f>'Course Catalogue'!J48</x:f>
        <x:v>12 months; confirm through provider risk assessment</x:v>
      </x:c>
      <x:c r="K48" s="65" t="str">
        <x:f>'Course Catalogue'!N48</x:f>
        <x:v>Wave 3 – Specialist</x:v>
      </x:c>
      <x:c r="L48" s="65" t="str">
        <x:f>'Course Catalogue'!Q48</x:f>
        <x:v>High Intensity Daily Personal Activities; Participant-Specific Training</x:v>
      </x:c>
      <x:c r="M48" s="65" t="str">
        <x:f>'Course Catalogue'!S48</x:f>
        <x:v>https://www.ndiscommission.gov.au/rules-and-standards/ndis-practice-standards/supplementary-module-high-intensity-daily-personal</x:v>
      </x:c>
      <x:c r="N48" s="65" t="str">
        <x:f>'Course Catalogue'!T48</x:f>
        <x:v>Theory completion does not authorise delivery or establish competency. Practical assessment and participant-specific training remain separate.</x:v>
      </x:c>
      <x:c r="O48" s="65" t="str">
        <x:f>'Course Catalogue'!O48</x:f>
        <x:v>Planned</x:v>
      </x:c>
    </x:row>
    <x:row r="49">
      <x:c r="A49" s="65" t="str">
        <x:f>'Course Catalogue'!A49</x:f>
        <x:v>HIS-106</x:v>
      </x:c>
      <x:c r="B49" s="65" t="str">
        <x:f>LEFT('Course Catalogue'!A49,3)</x:f>
        <x:v>HIS</x:v>
      </x:c>
      <x:c r="C49" s="65" t="str">
        <x:f>'Course Catalogue'!C49</x:f>
        <x:v>Ventilator Management Knowledge</x:v>
      </x:c>
      <x:c r="D49" s="65" t="str">
        <x:f>'Course Catalogue'!D49</x:f>
        <x:v>Experienced workers, clinical leads, supervisors and qualified assessors</x:v>
      </x:c>
      <x:c r="E49" s="65" t="str">
        <x:f>'Course Catalogue'!E49</x:f>
        <x:v>Advanced</x:v>
      </x:c>
      <x:c r="F49" s="65" t="n">
        <x:f>'Course Catalogue'!G49</x:f>
        <x:v>60</x:v>
      </x:c>
      <x:c r="G49" s="65" t="str">
        <x:f>'Course Catalogue'!F49</x:f>
        <x:v>Blended theory + external practical assessment</x:v>
      </x:c>
      <x:c r="H49" s="65" t="str">
        <x:f>'Course Catalogue'!H49</x:f>
        <x:v>Knowledge assessment; participant-specific practical competency assessed separately</x:v>
      </x:c>
      <x:c r="I49" s="65" t="str">
        <x:f>'Course Catalogue'!I49</x:f>
        <x:v>MapAble Academy Certificate of Completion (non-accredited professional development)</x:v>
      </x:c>
      <x:c r="J49" s="65" t="str">
        <x:f>'Course Catalogue'!J49</x:f>
        <x:v>12 months; confirm through provider risk assessment</x:v>
      </x:c>
      <x:c r="K49" s="65" t="str">
        <x:f>'Course Catalogue'!N49</x:f>
        <x:v>Wave 3 – Specialist</x:v>
      </x:c>
      <x:c r="L49" s="65" t="str">
        <x:f>'Course Catalogue'!Q49</x:f>
        <x:v>High Intensity Daily Personal Activities; Participant-Specific Training</x:v>
      </x:c>
      <x:c r="M49" s="65" t="str">
        <x:f>'Course Catalogue'!S49</x:f>
        <x:v>https://www.ndiscommission.gov.au/rules-and-standards/ndis-practice-standards/supplementary-module-high-intensity-daily-personal</x:v>
      </x:c>
      <x:c r="N49" s="65" t="str">
        <x:f>'Course Catalogue'!T49</x:f>
        <x:v>Theory completion does not authorise delivery or establish competency. Practical assessment and participant-specific training remain separate.</x:v>
      </x:c>
      <x:c r="O49" s="65" t="str">
        <x:f>'Course Catalogue'!O49</x:f>
        <x:v>Planned</x:v>
      </x:c>
    </x:row>
    <x:row r="50">
      <x:c r="A50" s="65" t="str">
        <x:f>'Course Catalogue'!A50</x:f>
        <x:v>HIS-107</x:v>
      </x:c>
      <x:c r="B50" s="65" t="str">
        <x:f>LEFT('Course Catalogue'!A50,3)</x:f>
        <x:v>HIS</x:v>
      </x:c>
      <x:c r="C50" s="65" t="str">
        <x:f>'Course Catalogue'!C50</x:f>
        <x:v>Urinary Catheter Management Knowledge</x:v>
      </x:c>
      <x:c r="D50" s="65" t="str">
        <x:f>'Course Catalogue'!D50</x:f>
        <x:v>Experienced workers, clinical leads, supervisors and qualified assessors</x:v>
      </x:c>
      <x:c r="E50" s="65" t="str">
        <x:f>'Course Catalogue'!E50</x:f>
        <x:v>Advanced</x:v>
      </x:c>
      <x:c r="F50" s="65" t="n">
        <x:f>'Course Catalogue'!G50</x:f>
        <x:v>60</x:v>
      </x:c>
      <x:c r="G50" s="65" t="str">
        <x:f>'Course Catalogue'!F50</x:f>
        <x:v>Blended theory + external practical assessment</x:v>
      </x:c>
      <x:c r="H50" s="65" t="str">
        <x:f>'Course Catalogue'!H50</x:f>
        <x:v>Knowledge assessment; participant-specific practical competency assessed separately</x:v>
      </x:c>
      <x:c r="I50" s="65" t="str">
        <x:f>'Course Catalogue'!I50</x:f>
        <x:v>MapAble Academy Certificate of Completion (non-accredited professional development)</x:v>
      </x:c>
      <x:c r="J50" s="65" t="str">
        <x:f>'Course Catalogue'!J50</x:f>
        <x:v>12 months; confirm through provider risk assessment</x:v>
      </x:c>
      <x:c r="K50" s="65" t="str">
        <x:f>'Course Catalogue'!N50</x:f>
        <x:v>Wave 3 – Specialist</x:v>
      </x:c>
      <x:c r="L50" s="65" t="str">
        <x:f>'Course Catalogue'!Q50</x:f>
        <x:v>High Intensity Daily Personal Activities; Participant-Specific Training</x:v>
      </x:c>
      <x:c r="M50" s="65" t="str">
        <x:f>'Course Catalogue'!S50</x:f>
        <x:v>https://www.ndiscommission.gov.au/rules-and-standards/ndis-practice-standards/supplementary-module-high-intensity-daily-personal</x:v>
      </x:c>
      <x:c r="N50" s="65" t="str">
        <x:f>'Course Catalogue'!T50</x:f>
        <x:v>Theory completion does not authorise delivery or establish competency. Practical assessment and participant-specific training remain separate.</x:v>
      </x:c>
      <x:c r="O50" s="65" t="str">
        <x:f>'Course Catalogue'!O50</x:f>
        <x:v>Planned</x:v>
      </x:c>
    </x:row>
    <x:row r="51">
      <x:c r="A51" s="65" t="str">
        <x:f>'Course Catalogue'!A51</x:f>
        <x:v>HIS-108</x:v>
      </x:c>
      <x:c r="B51" s="65" t="str">
        <x:f>LEFT('Course Catalogue'!A51,3)</x:f>
        <x:v>HIS</x:v>
      </x:c>
      <x:c r="C51" s="65" t="str">
        <x:f>'Course Catalogue'!C51</x:f>
        <x:v>Subcutaneous Injection Support Knowledge</x:v>
      </x:c>
      <x:c r="D51" s="65" t="str">
        <x:f>'Course Catalogue'!D51</x:f>
        <x:v>Experienced workers, clinical leads, supervisors and qualified assessors</x:v>
      </x:c>
      <x:c r="E51" s="65" t="str">
        <x:f>'Course Catalogue'!E51</x:f>
        <x:v>Advanced</x:v>
      </x:c>
      <x:c r="F51" s="65" t="n">
        <x:f>'Course Catalogue'!G51</x:f>
        <x:v>60</x:v>
      </x:c>
      <x:c r="G51" s="65" t="str">
        <x:f>'Course Catalogue'!F51</x:f>
        <x:v>Blended theory + external practical assessment</x:v>
      </x:c>
      <x:c r="H51" s="65" t="str">
        <x:f>'Course Catalogue'!H51</x:f>
        <x:v>Knowledge assessment; participant-specific practical competency assessed separately</x:v>
      </x:c>
      <x:c r="I51" s="65" t="str">
        <x:f>'Course Catalogue'!I51</x:f>
        <x:v>MapAble Academy Certificate of Completion (non-accredited professional development)</x:v>
      </x:c>
      <x:c r="J51" s="65" t="str">
        <x:f>'Course Catalogue'!J51</x:f>
        <x:v>12 months; confirm through provider risk assessment</x:v>
      </x:c>
      <x:c r="K51" s="65" t="str">
        <x:f>'Course Catalogue'!N51</x:f>
        <x:v>Wave 3 – Specialist</x:v>
      </x:c>
      <x:c r="L51" s="65" t="str">
        <x:f>'Course Catalogue'!Q51</x:f>
        <x:v>High Intensity Daily Personal Activities; Participant-Specific Training</x:v>
      </x:c>
      <x:c r="M51" s="65" t="str">
        <x:f>'Course Catalogue'!S51</x:f>
        <x:v>https://www.ndiscommission.gov.au/rules-and-standards/ndis-practice-standards/supplementary-module-high-intensity-daily-personal</x:v>
      </x:c>
      <x:c r="N51" s="65" t="str">
        <x:f>'Course Catalogue'!T51</x:f>
        <x:v>Theory completion does not authorise delivery or establish competency. Practical assessment and participant-specific training remain separate.</x:v>
      </x:c>
      <x:c r="O51" s="65" t="str">
        <x:f>'Course Catalogue'!O51</x:f>
        <x:v>Planned</x:v>
      </x:c>
    </x:row>
    <x:row r="52">
      <x:c r="A52" s="65" t="str">
        <x:f>'Course Catalogue'!A52</x:f>
        <x:v>HIS-109</x:v>
      </x:c>
      <x:c r="B52" s="65" t="str">
        <x:f>LEFT('Course Catalogue'!A52,3)</x:f>
        <x:v>HIS</x:v>
      </x:c>
      <x:c r="C52" s="65" t="str">
        <x:f>'Course Catalogue'!C52</x:f>
        <x:v>Complex Wound Management Knowledge</x:v>
      </x:c>
      <x:c r="D52" s="65" t="str">
        <x:f>'Course Catalogue'!D52</x:f>
        <x:v>Experienced workers, clinical leads, supervisors and qualified assessors</x:v>
      </x:c>
      <x:c r="E52" s="65" t="str">
        <x:f>'Course Catalogue'!E52</x:f>
        <x:v>Advanced</x:v>
      </x:c>
      <x:c r="F52" s="65" t="n">
        <x:f>'Course Catalogue'!G52</x:f>
        <x:v>60</x:v>
      </x:c>
      <x:c r="G52" s="65" t="str">
        <x:f>'Course Catalogue'!F52</x:f>
        <x:v>Blended theory + external practical assessment</x:v>
      </x:c>
      <x:c r="H52" s="65" t="str">
        <x:f>'Course Catalogue'!H52</x:f>
        <x:v>Knowledge assessment; participant-specific practical competency assessed separately</x:v>
      </x:c>
      <x:c r="I52" s="65" t="str">
        <x:f>'Course Catalogue'!I52</x:f>
        <x:v>MapAble Academy Certificate of Completion (non-accredited professional development)</x:v>
      </x:c>
      <x:c r="J52" s="65" t="str">
        <x:f>'Course Catalogue'!J52</x:f>
        <x:v>12 months; confirm through provider risk assessment</x:v>
      </x:c>
      <x:c r="K52" s="65" t="str">
        <x:f>'Course Catalogue'!N52</x:f>
        <x:v>Wave 3 – Specialist</x:v>
      </x:c>
      <x:c r="L52" s="65" t="str">
        <x:f>'Course Catalogue'!Q52</x:f>
        <x:v>High Intensity Daily Personal Activities; Participant-Specific Training</x:v>
      </x:c>
      <x:c r="M52" s="65" t="str">
        <x:f>'Course Catalogue'!S52</x:f>
        <x:v>https://www.ndiscommission.gov.au/rules-and-standards/ndis-practice-standards/supplementary-module-high-intensity-daily-personal</x:v>
      </x:c>
      <x:c r="N52" s="65" t="str">
        <x:f>'Course Catalogue'!T52</x:f>
        <x:v>Theory completion does not authorise delivery or establish competency. Practical assessment and participant-specific training remain separate.</x:v>
      </x:c>
      <x:c r="O52" s="65" t="str">
        <x:f>'Course Catalogue'!O52</x:f>
        <x:v>Planned</x:v>
      </x:c>
    </x:row>
    <x:row r="53">
      <x:c r="A53" s="65" t="str">
        <x:f>'Course Catalogue'!A53</x:f>
        <x:v>HIS-110</x:v>
      </x:c>
      <x:c r="B53" s="65" t="str">
        <x:f>LEFT('Course Catalogue'!A53,3)</x:f>
        <x:v>HIS</x:v>
      </x:c>
      <x:c r="C53" s="65" t="str">
        <x:f>'Course Catalogue'!C53</x:f>
        <x:v>Seizure Support, Rescue Medication and Medical Emergencies</x:v>
      </x:c>
      <x:c r="D53" s="65" t="str">
        <x:f>'Course Catalogue'!D53</x:f>
        <x:v>Experienced workers, clinical leads, supervisors and qualified assessors</x:v>
      </x:c>
      <x:c r="E53" s="65" t="str">
        <x:f>'Course Catalogue'!E53</x:f>
        <x:v>Advanced</x:v>
      </x:c>
      <x:c r="F53" s="65" t="n">
        <x:f>'Course Catalogue'!G53</x:f>
        <x:v>60</x:v>
      </x:c>
      <x:c r="G53" s="65" t="str">
        <x:f>'Course Catalogue'!F53</x:f>
        <x:v>Blended theory + external practical assessment</x:v>
      </x:c>
      <x:c r="H53" s="65" t="str">
        <x:f>'Course Catalogue'!H53</x:f>
        <x:v>Knowledge assessment; participant-specific practical competency assessed separately</x:v>
      </x:c>
      <x:c r="I53" s="65" t="str">
        <x:f>'Course Catalogue'!I53</x:f>
        <x:v>MapAble Academy Certificate of Completion (non-accredited professional development)</x:v>
      </x:c>
      <x:c r="J53" s="65" t="str">
        <x:f>'Course Catalogue'!J53</x:f>
        <x:v>12 months; confirm through provider risk assessment</x:v>
      </x:c>
      <x:c r="K53" s="65" t="str">
        <x:f>'Course Catalogue'!N53</x:f>
        <x:v>Wave 3 – Specialist</x:v>
      </x:c>
      <x:c r="L53" s="65" t="str">
        <x:f>'Course Catalogue'!Q53</x:f>
        <x:v>High Intensity Daily Personal Activities; Participant-Specific Training</x:v>
      </x:c>
      <x:c r="M53" s="65" t="str">
        <x:f>'Course Catalogue'!S53</x:f>
        <x:v>https://www.ndiscommission.gov.au/rules-and-standards/ndis-practice-standards/supplementary-module-high-intensity-daily-personal</x:v>
      </x:c>
      <x:c r="N53" s="65" t="str">
        <x:f>'Course Catalogue'!T53</x:f>
        <x:v>Theory completion does not authorise delivery or establish competency. Practical assessment and participant-specific training remain separate.</x:v>
      </x:c>
      <x:c r="O53" s="65" t="str">
        <x:f>'Course Catalogue'!O53</x:f>
        <x:v>Planned</x:v>
      </x:c>
    </x:row>
    <x:row r="54">
      <x:c r="A54" s="65" t="str">
        <x:f>'Course Catalogue'!A54</x:f>
        <x:v>BMR-101</x:v>
      </x:c>
      <x:c r="B54" s="65" t="str">
        <x:f>LEFT('Course Catalogue'!A54,3)</x:f>
        <x:v>BMR</x:v>
      </x:c>
      <x:c r="C54" s="65" t="str">
        <x:f>'Course Catalogue'!C54</x:f>
        <x:v>Understanding Psychosocial Disability</x:v>
      </x:c>
      <x:c r="D54" s="65" t="str">
        <x:f>'Course Catalogue'!D54</x:f>
        <x:v>Support workers, recovery coaches, behaviour support implementers and supervisors</x:v>
      </x:c>
      <x:c r="E54" s="65" t="str">
        <x:f>'Course Catalogue'!E54</x:f>
        <x:v>Foundation</x:v>
      </x:c>
      <x:c r="F54" s="65" t="n">
        <x:f>'Course Catalogue'!G54</x:f>
        <x:v>20</x:v>
      </x:c>
      <x:c r="G54" s="65" t="str">
        <x:f>'Course Catalogue'!F54</x:f>
        <x:v>Microlearning + knowledge check</x:v>
      </x:c>
      <x:c r="H54" s="65" t="str">
        <x:f>'Course Catalogue'!H54</x:f>
        <x:v>Knowledge quiz and scenario check</x:v>
      </x:c>
      <x:c r="I54" s="65" t="str">
        <x:f>'Course Catalogue'!I54</x:f>
        <x:v>MapAble Academy Certificate of Completion (non-accredited professional development)</x:v>
      </x:c>
      <x:c r="J54" s="65" t="str">
        <x:f>'Course Catalogue'!J54</x:f>
        <x:v>24 months; confirm through provider risk assessment</x:v>
      </x:c>
      <x:c r="K54" s="65" t="str">
        <x:f>'Course Catalogue'!N54</x:f>
        <x:v>Wave 2 – Expansion</x:v>
      </x:c>
      <x:c r="L54" s="65" t="str">
        <x:f>'Course Catalogue'!Q54</x:f>
        <x:v>Behaviour Support; Restrictive Practices; Psychosocial Disability; Safeguarding</x:v>
      </x:c>
      <x:c r="M54" s="65" t="str">
        <x:f>'Course Catalogue'!S54</x:f>
        <x:v>https://www.ndiscommission.gov.au/rules-and-standards/behaviour-support-and-restrictive-practices</x:v>
      </x:c>
      <x:c r="N54" s="65" t="str">
        <x:f>'Course Catalogue'!T54</x:f>
        <x:v>Course mapping supports evidence and capability development; it does not guarantee provider compliance.</x:v>
      </x:c>
      <x:c r="O54" s="65" t="str">
        <x:f>'Course Catalogue'!O54</x:f>
        <x:v>Planned</x:v>
      </x:c>
    </x:row>
    <x:row r="55">
      <x:c r="A55" s="65" t="str">
        <x:f>'Course Catalogue'!A55</x:f>
        <x:v>BMR-102</x:v>
      </x:c>
      <x:c r="B55" s="65" t="str">
        <x:f>LEFT('Course Catalogue'!A55,3)</x:f>
        <x:v>BMR</x:v>
      </x:c>
      <x:c r="C55" s="65" t="str">
        <x:f>'Course Catalogue'!C55</x:f>
        <x:v>Recovery-Oriented Practice and Personal Agency</x:v>
      </x:c>
      <x:c r="D55" s="65" t="str">
        <x:f>'Course Catalogue'!D55</x:f>
        <x:v>Support workers, recovery coaches, behaviour support implementers and supervisors</x:v>
      </x:c>
      <x:c r="E55" s="65" t="str">
        <x:f>'Course Catalogue'!E55</x:f>
        <x:v>Foundation</x:v>
      </x:c>
      <x:c r="F55" s="65" t="n">
        <x:f>'Course Catalogue'!G55</x:f>
        <x:v>30</x:v>
      </x:c>
      <x:c r="G55" s="65" t="str">
        <x:f>'Course Catalogue'!F55</x:f>
        <x:v>Self-paced eLearning</x:v>
      </x:c>
      <x:c r="H55" s="65" t="str">
        <x:f>'Course Catalogue'!H55</x:f>
        <x:v>Knowledge quiz and scenario check</x:v>
      </x:c>
      <x:c r="I55" s="65" t="str">
        <x:f>'Course Catalogue'!I55</x:f>
        <x:v>MapAble Academy Certificate of Completion (non-accredited professional development)</x:v>
      </x:c>
      <x:c r="J55" s="65" t="str">
        <x:f>'Course Catalogue'!J55</x:f>
        <x:v>24 months; confirm through provider risk assessment</x:v>
      </x:c>
      <x:c r="K55" s="65" t="str">
        <x:f>'Course Catalogue'!N55</x:f>
        <x:v>Wave 2 – Expansion</x:v>
      </x:c>
      <x:c r="L55" s="65" t="str">
        <x:f>'Course Catalogue'!Q55</x:f>
        <x:v>Behaviour Support; Restrictive Practices; Psychosocial Disability; Safeguarding</x:v>
      </x:c>
      <x:c r="M55" s="65" t="str">
        <x:f>'Course Catalogue'!S55</x:f>
        <x:v>https://www.ndiscommission.gov.au/rules-and-standards/behaviour-support-and-restrictive-practices</x:v>
      </x:c>
      <x:c r="N55" s="65" t="str">
        <x:f>'Course Catalogue'!T55</x:f>
        <x:v>Course mapping supports evidence and capability development; it does not guarantee provider compliance.</x:v>
      </x:c>
      <x:c r="O55" s="65" t="str">
        <x:f>'Course Catalogue'!O55</x:f>
        <x:v>Planned</x:v>
      </x:c>
    </x:row>
    <x:row r="56">
      <x:c r="A56" s="65" t="str">
        <x:f>'Course Catalogue'!A56</x:f>
        <x:v>BMR-103</x:v>
      </x:c>
      <x:c r="B56" s="65" t="str">
        <x:f>LEFT('Course Catalogue'!A56,3)</x:f>
        <x:v>BMR</x:v>
      </x:c>
      <x:c r="C56" s="65" t="str">
        <x:f>'Course Catalogue'!C56</x:f>
        <x:v>Trauma-Informed Disability Support</x:v>
      </x:c>
      <x:c r="D56" s="65" t="str">
        <x:f>'Course Catalogue'!D56</x:f>
        <x:v>Support workers, recovery coaches, behaviour support implementers and supervisors</x:v>
      </x:c>
      <x:c r="E56" s="65" t="str">
        <x:f>'Course Catalogue'!E56</x:f>
        <x:v>Foundation</x:v>
      </x:c>
      <x:c r="F56" s="65" t="n">
        <x:f>'Course Catalogue'!G56</x:f>
        <x:v>40</x:v>
      </x:c>
      <x:c r="G56" s="65" t="str">
        <x:f>'Course Catalogue'!F56</x:f>
        <x:v>Self-paced eLearning</x:v>
      </x:c>
      <x:c r="H56" s="65" t="str">
        <x:f>'Course Catalogue'!H56</x:f>
        <x:v>Knowledge quiz and scenario check</x:v>
      </x:c>
      <x:c r="I56" s="65" t="str">
        <x:f>'Course Catalogue'!I56</x:f>
        <x:v>MapAble Academy Certificate of Completion (non-accredited professional development)</x:v>
      </x:c>
      <x:c r="J56" s="65" t="str">
        <x:f>'Course Catalogue'!J56</x:f>
        <x:v>24 months; confirm through provider risk assessment</x:v>
      </x:c>
      <x:c r="K56" s="65" t="str">
        <x:f>'Course Catalogue'!N56</x:f>
        <x:v>Wave 2 – Expansion</x:v>
      </x:c>
      <x:c r="L56" s="65" t="str">
        <x:f>'Course Catalogue'!Q56</x:f>
        <x:v>Behaviour Support; Restrictive Practices; Psychosocial Disability; Safeguarding</x:v>
      </x:c>
      <x:c r="M56" s="65" t="str">
        <x:f>'Course Catalogue'!S56</x:f>
        <x:v>https://www.ndiscommission.gov.au/rules-and-standards/behaviour-support-and-restrictive-practices</x:v>
      </x:c>
      <x:c r="N56" s="65" t="str">
        <x:f>'Course Catalogue'!T56</x:f>
        <x:v>Course mapping supports evidence and capability development; it does not guarantee provider compliance.</x:v>
      </x:c>
      <x:c r="O56" s="65" t="str">
        <x:f>'Course Catalogue'!O56</x:f>
        <x:v>Planned</x:v>
      </x:c>
    </x:row>
    <x:row r="57">
      <x:c r="A57" s="65" t="str">
        <x:f>'Course Catalogue'!A57</x:f>
        <x:v>BMR-104</x:v>
      </x:c>
      <x:c r="B57" s="65" t="str">
        <x:f>LEFT('Course Catalogue'!A57,3)</x:f>
        <x:v>BMR</x:v>
      </x:c>
      <x:c r="C57" s="65" t="str">
        <x:f>'Course Catalogue'!C57</x:f>
        <x:v>Positive Behaviour Support Foundations</x:v>
      </x:c>
      <x:c r="D57" s="65" t="str">
        <x:f>'Course Catalogue'!D57</x:f>
        <x:v>Support workers, recovery coaches, behaviour support implementers and supervisors</x:v>
      </x:c>
      <x:c r="E57" s="65" t="str">
        <x:f>'Course Catalogue'!E57</x:f>
        <x:v>Intermediate</x:v>
      </x:c>
      <x:c r="F57" s="65" t="n">
        <x:f>'Course Catalogue'!G57</x:f>
        <x:v>50</x:v>
      </x:c>
      <x:c r="G57" s="65" t="str">
        <x:f>'Course Catalogue'!F57</x:f>
        <x:v>Scenario-based eLearning</x:v>
      </x:c>
      <x:c r="H57" s="65" t="str">
        <x:f>'Course Catalogue'!H57</x:f>
        <x:v>Scenario assessment and reflective response</x:v>
      </x:c>
      <x:c r="I57" s="65" t="str">
        <x:f>'Course Catalogue'!I57</x:f>
        <x:v>MapAble Academy Certificate of Completion (non-accredited professional development)</x:v>
      </x:c>
      <x:c r="J57" s="65" t="str">
        <x:f>'Course Catalogue'!J57</x:f>
        <x:v>24 months; confirm through provider risk assessment</x:v>
      </x:c>
      <x:c r="K57" s="65" t="str">
        <x:f>'Course Catalogue'!N57</x:f>
        <x:v>Wave 2 – Expansion</x:v>
      </x:c>
      <x:c r="L57" s="65" t="str">
        <x:f>'Course Catalogue'!Q57</x:f>
        <x:v>Behaviour Support; Restrictive Practices; Psychosocial Disability; Safeguarding</x:v>
      </x:c>
      <x:c r="M57" s="65" t="str">
        <x:f>'Course Catalogue'!S57</x:f>
        <x:v>https://www.ndiscommission.gov.au/rules-and-standards/behaviour-support-and-restrictive-practices</x:v>
      </x:c>
      <x:c r="N57" s="65" t="str">
        <x:f>'Course Catalogue'!T57</x:f>
        <x:v>Course mapping supports evidence and capability development; it does not guarantee provider compliance.</x:v>
      </x:c>
      <x:c r="O57" s="65" t="str">
        <x:f>'Course Catalogue'!O57</x:f>
        <x:v>Planned</x:v>
      </x:c>
    </x:row>
    <x:row r="58">
      <x:c r="A58" s="65" t="str">
        <x:f>'Course Catalogue'!A58</x:f>
        <x:v>BMR-105</x:v>
      </x:c>
      <x:c r="B58" s="65" t="str">
        <x:f>LEFT('Course Catalogue'!A58,3)</x:f>
        <x:v>BMR</x:v>
      </x:c>
      <x:c r="C58" s="65" t="str">
        <x:f>'Course Catalogue'!C58</x:f>
        <x:v>Understanding the Function and Context of Behaviour</x:v>
      </x:c>
      <x:c r="D58" s="65" t="str">
        <x:f>'Course Catalogue'!D58</x:f>
        <x:v>Support workers, recovery coaches, behaviour support implementers and supervisors</x:v>
      </x:c>
      <x:c r="E58" s="65" t="str">
        <x:f>'Course Catalogue'!E58</x:f>
        <x:v>Intermediate</x:v>
      </x:c>
      <x:c r="F58" s="65" t="n">
        <x:f>'Course Catalogue'!G58</x:f>
        <x:v>20</x:v>
      </x:c>
      <x:c r="G58" s="65" t="str">
        <x:f>'Course Catalogue'!F58</x:f>
        <x:v>Microlearning + knowledge check</x:v>
      </x:c>
      <x:c r="H58" s="65" t="str">
        <x:f>'Course Catalogue'!H58</x:f>
        <x:v>Scenario assessment and reflective response</x:v>
      </x:c>
      <x:c r="I58" s="65" t="str">
        <x:f>'Course Catalogue'!I58</x:f>
        <x:v>MapAble Academy Certificate of Completion (non-accredited professional development)</x:v>
      </x:c>
      <x:c r="J58" s="65" t="str">
        <x:f>'Course Catalogue'!J58</x:f>
        <x:v>24 months; confirm through provider risk assessment</x:v>
      </x:c>
      <x:c r="K58" s="65" t="str">
        <x:f>'Course Catalogue'!N58</x:f>
        <x:v>Wave 2 – Expansion</x:v>
      </x:c>
      <x:c r="L58" s="65" t="str">
        <x:f>'Course Catalogue'!Q58</x:f>
        <x:v>Behaviour Support; Restrictive Practices; Psychosocial Disability; Safeguarding</x:v>
      </x:c>
      <x:c r="M58" s="65" t="str">
        <x:f>'Course Catalogue'!S58</x:f>
        <x:v>https://www.ndiscommission.gov.au/rules-and-standards/behaviour-support-and-restrictive-practices</x:v>
      </x:c>
      <x:c r="N58" s="65" t="str">
        <x:f>'Course Catalogue'!T58</x:f>
        <x:v>Course mapping supports evidence and capability development; it does not guarantee provider compliance.</x:v>
      </x:c>
      <x:c r="O58" s="65" t="str">
        <x:f>'Course Catalogue'!O58</x:f>
        <x:v>Planned</x:v>
      </x:c>
    </x:row>
    <x:row r="59">
      <x:c r="A59" s="65" t="str">
        <x:f>'Course Catalogue'!A59</x:f>
        <x:v>BMR-106</x:v>
      </x:c>
      <x:c r="B59" s="65" t="str">
        <x:f>LEFT('Course Catalogue'!A59,3)</x:f>
        <x:v>BMR</x:v>
      </x:c>
      <x:c r="C59" s="65" t="str">
        <x:f>'Course Catalogue'!C59</x:f>
        <x:v>Implementing a Behaviour Support Plan</x:v>
      </x:c>
      <x:c r="D59" s="65" t="str">
        <x:f>'Course Catalogue'!D59</x:f>
        <x:v>Support workers, recovery coaches, behaviour support implementers and supervisors</x:v>
      </x:c>
      <x:c r="E59" s="65" t="str">
        <x:f>'Course Catalogue'!E59</x:f>
        <x:v>Intermediate</x:v>
      </x:c>
      <x:c r="F59" s="65" t="n">
        <x:f>'Course Catalogue'!G59</x:f>
        <x:v>30</x:v>
      </x:c>
      <x:c r="G59" s="65" t="str">
        <x:f>'Course Catalogue'!F59</x:f>
        <x:v>Self-paced eLearning</x:v>
      </x:c>
      <x:c r="H59" s="65" t="str">
        <x:f>'Course Catalogue'!H59</x:f>
        <x:v>Scenario assessment and reflective response</x:v>
      </x:c>
      <x:c r="I59" s="65" t="str">
        <x:f>'Course Catalogue'!I59</x:f>
        <x:v>MapAble Academy Certificate of Completion (non-accredited professional development)</x:v>
      </x:c>
      <x:c r="J59" s="65" t="str">
        <x:f>'Course Catalogue'!J59</x:f>
        <x:v>12 months; confirm through provider risk assessment</x:v>
      </x:c>
      <x:c r="K59" s="65" t="str">
        <x:f>'Course Catalogue'!N59</x:f>
        <x:v>Wave 3 – Specialist</x:v>
      </x:c>
      <x:c r="L59" s="65" t="str">
        <x:f>'Course Catalogue'!Q59</x:f>
        <x:v>Behaviour Support; Restrictive Practices; Psychosocial Disability; Safeguarding</x:v>
      </x:c>
      <x:c r="M59" s="65" t="str">
        <x:f>'Course Catalogue'!S59</x:f>
        <x:v>https://www.ndiscommission.gov.au/rules-and-standards/behaviour-support-and-restrictive-practices</x:v>
      </x:c>
      <x:c r="N59" s="65" t="str">
        <x:f>'Course Catalogue'!T59</x:f>
        <x:v>Course mapping supports evidence and capability development; it does not guarantee provider compliance.</x:v>
      </x:c>
      <x:c r="O59" s="65" t="str">
        <x:f>'Course Catalogue'!O59</x:f>
        <x:v>Planned</x:v>
      </x:c>
    </x:row>
    <x:row r="60">
      <x:c r="A60" s="65" t="str">
        <x:f>'Course Catalogue'!A60</x:f>
        <x:v>BMR-107</x:v>
      </x:c>
      <x:c r="B60" s="65" t="str">
        <x:f>LEFT('Course Catalogue'!A60,3)</x:f>
        <x:v>BMR</x:v>
      </x:c>
      <x:c r="C60" s="65" t="str">
        <x:f>'Course Catalogue'!C60</x:f>
        <x:v>Restrictive Practices, Authorisation and Reduction</x:v>
      </x:c>
      <x:c r="D60" s="65" t="str">
        <x:f>'Course Catalogue'!D60</x:f>
        <x:v>Support workers, recovery coaches, behaviour support implementers and supervisors</x:v>
      </x:c>
      <x:c r="E60" s="65" t="str">
        <x:f>'Course Catalogue'!E60</x:f>
        <x:v>Intermediate</x:v>
      </x:c>
      <x:c r="F60" s="65" t="n">
        <x:f>'Course Catalogue'!G60</x:f>
        <x:v>40</x:v>
      </x:c>
      <x:c r="G60" s="65" t="str">
        <x:f>'Course Catalogue'!F60</x:f>
        <x:v>Self-paced eLearning</x:v>
      </x:c>
      <x:c r="H60" s="65" t="str">
        <x:f>'Course Catalogue'!H60</x:f>
        <x:v>Scenario assessment and reflective response</x:v>
      </x:c>
      <x:c r="I60" s="65" t="str">
        <x:f>'Course Catalogue'!I60</x:f>
        <x:v>MapAble Academy Certificate of Completion (non-accredited professional development)</x:v>
      </x:c>
      <x:c r="J60" s="65" t="str">
        <x:f>'Course Catalogue'!J60</x:f>
        <x:v>12 months; confirm through provider risk assessment</x:v>
      </x:c>
      <x:c r="K60" s="65" t="str">
        <x:f>'Course Catalogue'!N60</x:f>
        <x:v>Wave 3 – Specialist</x:v>
      </x:c>
      <x:c r="L60" s="65" t="str">
        <x:f>'Course Catalogue'!Q60</x:f>
        <x:v>Behaviour Support; Restrictive Practices; Psychosocial Disability; Safeguarding</x:v>
      </x:c>
      <x:c r="M60" s="65" t="str">
        <x:f>'Course Catalogue'!S60</x:f>
        <x:v>https://www.ndiscommission.gov.au/rules-and-standards/behaviour-support-and-restrictive-practices</x:v>
      </x:c>
      <x:c r="N60" s="65" t="str">
        <x:f>'Course Catalogue'!T60</x:f>
        <x:v>Course mapping supports evidence and capability development; it does not guarantee provider compliance.</x:v>
      </x:c>
      <x:c r="O60" s="65" t="str">
        <x:f>'Course Catalogue'!O60</x:f>
        <x:v>Planned</x:v>
      </x:c>
    </x:row>
    <x:row r="61">
      <x:c r="A61" s="65" t="str">
        <x:f>'Course Catalogue'!A61</x:f>
        <x:v>BMR-108</x:v>
      </x:c>
      <x:c r="B61" s="65" t="str">
        <x:f>LEFT('Course Catalogue'!A61,3)</x:f>
        <x:v>BMR</x:v>
      </x:c>
      <x:c r="C61" s="65" t="str">
        <x:f>'Course Catalogue'!C61</x:f>
        <x:v>Co-Regulation, Emotional Regulation and Distress</x:v>
      </x:c>
      <x:c r="D61" s="65" t="str">
        <x:f>'Course Catalogue'!D61</x:f>
        <x:v>Support workers, recovery coaches, behaviour support implementers and supervisors</x:v>
      </x:c>
      <x:c r="E61" s="65" t="str">
        <x:f>'Course Catalogue'!E61</x:f>
        <x:v>Advanced</x:v>
      </x:c>
      <x:c r="F61" s="65" t="n">
        <x:f>'Course Catalogue'!G61</x:f>
        <x:v>50</x:v>
      </x:c>
      <x:c r="G61" s="65" t="str">
        <x:f>'Course Catalogue'!F61</x:f>
        <x:v>Scenario-based eLearning</x:v>
      </x:c>
      <x:c r="H61" s="65" t="str">
        <x:f>'Course Catalogue'!H61</x:f>
        <x:v>Scenario assessment and reflective response</x:v>
      </x:c>
      <x:c r="I61" s="65" t="str">
        <x:f>'Course Catalogue'!I61</x:f>
        <x:v>MapAble Academy Certificate of Completion (non-accredited professional development)</x:v>
      </x:c>
      <x:c r="J61" s="65" t="str">
        <x:f>'Course Catalogue'!J61</x:f>
        <x:v>12 months; confirm through provider risk assessment</x:v>
      </x:c>
      <x:c r="K61" s="65" t="str">
        <x:f>'Course Catalogue'!N61</x:f>
        <x:v>Wave 3 – Specialist</x:v>
      </x:c>
      <x:c r="L61" s="65" t="str">
        <x:f>'Course Catalogue'!Q61</x:f>
        <x:v>Behaviour Support; Restrictive Practices; Psychosocial Disability; Safeguarding</x:v>
      </x:c>
      <x:c r="M61" s="65" t="str">
        <x:f>'Course Catalogue'!S61</x:f>
        <x:v>https://www.ndiscommission.gov.au/rules-and-standards/behaviour-support-and-restrictive-practices</x:v>
      </x:c>
      <x:c r="N61" s="65" t="str">
        <x:f>'Course Catalogue'!T61</x:f>
        <x:v>Course mapping supports evidence and capability development; it does not guarantee provider compliance.</x:v>
      </x:c>
      <x:c r="O61" s="65" t="str">
        <x:f>'Course Catalogue'!O61</x:f>
        <x:v>Planned</x:v>
      </x:c>
    </x:row>
    <x:row r="62">
      <x:c r="A62" s="65" t="str">
        <x:f>'Course Catalogue'!A62</x:f>
        <x:v>BMR-109</x:v>
      </x:c>
      <x:c r="B62" s="65" t="str">
        <x:f>LEFT('Course Catalogue'!A62,3)</x:f>
        <x:v>BMR</x:v>
      </x:c>
      <x:c r="C62" s="65" t="str">
        <x:f>'Course Catalogue'!C62</x:f>
        <x:v>Responding to Suicide Risk, Self-Harm and Crisis</x:v>
      </x:c>
      <x:c r="D62" s="65" t="str">
        <x:f>'Course Catalogue'!D62</x:f>
        <x:v>Support workers, recovery coaches, behaviour support implementers and supervisors</x:v>
      </x:c>
      <x:c r="E62" s="65" t="str">
        <x:f>'Course Catalogue'!E62</x:f>
        <x:v>Advanced</x:v>
      </x:c>
      <x:c r="F62" s="65" t="n">
        <x:f>'Course Catalogue'!G62</x:f>
        <x:v>20</x:v>
      </x:c>
      <x:c r="G62" s="65" t="str">
        <x:f>'Course Catalogue'!F62</x:f>
        <x:v>Microlearning + knowledge check</x:v>
      </x:c>
      <x:c r="H62" s="65" t="str">
        <x:f>'Course Catalogue'!H62</x:f>
        <x:v>Scenario assessment and reflective response</x:v>
      </x:c>
      <x:c r="I62" s="65" t="str">
        <x:f>'Course Catalogue'!I62</x:f>
        <x:v>MapAble Academy Certificate of Completion (non-accredited professional development)</x:v>
      </x:c>
      <x:c r="J62" s="65" t="str">
        <x:f>'Course Catalogue'!J62</x:f>
        <x:v>12 months; confirm through provider risk assessment</x:v>
      </x:c>
      <x:c r="K62" s="65" t="str">
        <x:f>'Course Catalogue'!N62</x:f>
        <x:v>Wave 3 – Specialist</x:v>
      </x:c>
      <x:c r="L62" s="65" t="str">
        <x:f>'Course Catalogue'!Q62</x:f>
        <x:v>Behaviour Support; Restrictive Practices; Psychosocial Disability; Safeguarding</x:v>
      </x:c>
      <x:c r="M62" s="65" t="str">
        <x:f>'Course Catalogue'!S62</x:f>
        <x:v>https://www.ndiscommission.gov.au/rules-and-standards/behaviour-support-and-restrictive-practices</x:v>
      </x:c>
      <x:c r="N62" s="65" t="str">
        <x:f>'Course Catalogue'!T62</x:f>
        <x:v>Course mapping supports evidence and capability development; it does not guarantee provider compliance.</x:v>
      </x:c>
      <x:c r="O62" s="65" t="str">
        <x:f>'Course Catalogue'!O62</x:f>
        <x:v>Planned</x:v>
      </x:c>
    </x:row>
    <x:row r="63">
      <x:c r="A63" s="65" t="str">
        <x:f>'Course Catalogue'!A63</x:f>
        <x:v>BMR-110</x:v>
      </x:c>
      <x:c r="B63" s="65" t="str">
        <x:f>LEFT('Course Catalogue'!A63,3)</x:f>
        <x:v>BMR</x:v>
      </x:c>
      <x:c r="C63" s="65" t="str">
        <x:f>'Course Catalogue'!C63</x:f>
        <x:v>Worker Wellbeing, Burnout, Debriefing and Moral Distress</x:v>
      </x:c>
      <x:c r="D63" s="65" t="str">
        <x:f>'Course Catalogue'!D63</x:f>
        <x:v>Support workers, recovery coaches, behaviour support implementers and supervisors</x:v>
      </x:c>
      <x:c r="E63" s="65" t="str">
        <x:f>'Course Catalogue'!E63</x:f>
        <x:v>Advanced</x:v>
      </x:c>
      <x:c r="F63" s="65" t="n">
        <x:f>'Course Catalogue'!G63</x:f>
        <x:v>30</x:v>
      </x:c>
      <x:c r="G63" s="65" t="str">
        <x:f>'Course Catalogue'!F63</x:f>
        <x:v>Self-paced eLearning</x:v>
      </x:c>
      <x:c r="H63" s="65" t="str">
        <x:f>'Course Catalogue'!H63</x:f>
        <x:v>Scenario assessment and reflective response</x:v>
      </x:c>
      <x:c r="I63" s="65" t="str">
        <x:f>'Course Catalogue'!I63</x:f>
        <x:v>MapAble Academy Certificate of Completion (non-accredited professional development)</x:v>
      </x:c>
      <x:c r="J63" s="65" t="str">
        <x:f>'Course Catalogue'!J63</x:f>
        <x:v>12 months; confirm through provider risk assessment</x:v>
      </x:c>
      <x:c r="K63" s="65" t="str">
        <x:f>'Course Catalogue'!N63</x:f>
        <x:v>Wave 2 – Expansion</x:v>
      </x:c>
      <x:c r="L63" s="65" t="str">
        <x:f>'Course Catalogue'!Q63</x:f>
        <x:v>Behaviour Support; Restrictive Practices; Psychosocial Disability; Safeguarding</x:v>
      </x:c>
      <x:c r="M63" s="65" t="str">
        <x:f>'Course Catalogue'!S63</x:f>
        <x:v>https://www.ndiscommission.gov.au/rules-and-standards/behaviour-support-and-restrictive-practices</x:v>
      </x:c>
      <x:c r="N63" s="65" t="str">
        <x:f>'Course Catalogue'!T63</x:f>
        <x:v>Course mapping supports evidence and capability development; it does not guarantee provider compliance.</x:v>
      </x:c>
      <x:c r="O63" s="65" t="str">
        <x:f>'Course Catalogue'!O63</x:f>
        <x:v>Planned</x:v>
      </x:c>
    </x:row>
    <x:row r="64">
      <x:c r="A64" s="65" t="str">
        <x:f>'Course Catalogue'!A64</x:f>
        <x:v>TMC-101</x:v>
      </x:c>
      <x:c r="B64" s="65" t="str">
        <x:f>LEFT('Course Catalogue'!A64,3)</x:f>
        <x:v>TMC</x:v>
      </x:c>
      <x:c r="C64" s="65" t="str">
        <x:f>'Course Catalogue'!C64</x:f>
        <x:v>Accessible Transport Foundations</x:v>
      </x:c>
      <x:c r="D64" s="65" t="str">
        <x:f>'Course Catalogue'!D64</x:f>
        <x:v>Support workers, drivers, transport coordinators and provider managers</x:v>
      </x:c>
      <x:c r="E64" s="65" t="str">
        <x:f>'Course Catalogue'!E64</x:f>
        <x:v>Foundation</x:v>
      </x:c>
      <x:c r="F64" s="65" t="n">
        <x:f>'Course Catalogue'!G64</x:f>
        <x:v>20</x:v>
      </x:c>
      <x:c r="G64" s="65" t="str">
        <x:f>'Course Catalogue'!F64</x:f>
        <x:v>Microlearning + knowledge check</x:v>
      </x:c>
      <x:c r="H64" s="65" t="str">
        <x:f>'Course Catalogue'!H64</x:f>
        <x:v>Knowledge quiz and scenario check</x:v>
      </x:c>
      <x:c r="I64" s="65" t="str">
        <x:f>'Course Catalogue'!I64</x:f>
        <x:v>MapAble Academy Certificate of Completion (non-accredited professional development)</x:v>
      </x:c>
      <x:c r="J64" s="65" t="str">
        <x:f>'Course Catalogue'!J64</x:f>
        <x:v>24 months; confirm through provider risk assessment</x:v>
      </x:c>
      <x:c r="K64" s="65" t="str">
        <x:f>'Course Catalogue'!N64</x:f>
        <x:v>Wave 1 – Launch</x:v>
      </x:c>
      <x:c r="L64" s="65" t="str">
        <x:f>'Course Catalogue'!Q64</x:f>
        <x:v>Safe Environment; Community Participation; Transport; Mobility</x:v>
      </x:c>
      <x:c r="M64" s="65" t="str">
        <x:f>'Course Catalogue'!S64</x:f>
        <x:v>https://www.ndiscommission.gov.au/workforce/training-workers/guide-for-ndis-providers/training-your-workers</x:v>
      </x:c>
      <x:c r="N64" s="65" t="str">
        <x:f>'Course Catalogue'!T64</x:f>
        <x:v>Course mapping supports evidence and capability development; it does not guarantee provider compliance.</x:v>
      </x:c>
      <x:c r="O64" s="65" t="str">
        <x:f>'Course Catalogue'!O64</x:f>
        <x:v>Planned</x:v>
      </x:c>
    </x:row>
    <x:row r="65">
      <x:c r="A65" s="65" t="str">
        <x:f>'Course Catalogue'!A65</x:f>
        <x:v>TMC-102</x:v>
      </x:c>
      <x:c r="B65" s="65" t="str">
        <x:f>LEFT('Course Catalogue'!A65,3)</x:f>
        <x:v>TMC</x:v>
      </x:c>
      <x:c r="C65" s="65" t="str">
        <x:f>'Course Catalogue'!C65</x:f>
        <x:v>Safe Vehicle Boarding, Transfers and Passenger Securement</x:v>
      </x:c>
      <x:c r="D65" s="65" t="str">
        <x:f>'Course Catalogue'!D65</x:f>
        <x:v>Support workers, drivers, transport coordinators and provider managers</x:v>
      </x:c>
      <x:c r="E65" s="65" t="str">
        <x:f>'Course Catalogue'!E65</x:f>
        <x:v>Foundation</x:v>
      </x:c>
      <x:c r="F65" s="65" t="n">
        <x:f>'Course Catalogue'!G65</x:f>
        <x:v>30</x:v>
      </x:c>
      <x:c r="G65" s="65" t="str">
        <x:f>'Course Catalogue'!F65</x:f>
        <x:v>Self-paced eLearning</x:v>
      </x:c>
      <x:c r="H65" s="65" t="str">
        <x:f>'Course Catalogue'!H65</x:f>
        <x:v>Knowledge quiz and scenario check</x:v>
      </x:c>
      <x:c r="I65" s="65" t="str">
        <x:f>'Course Catalogue'!I65</x:f>
        <x:v>MapAble Academy Certificate of Completion (non-accredited professional development)</x:v>
      </x:c>
      <x:c r="J65" s="65" t="str">
        <x:f>'Course Catalogue'!J65</x:f>
        <x:v>24 months; confirm through provider risk assessment</x:v>
      </x:c>
      <x:c r="K65" s="65" t="str">
        <x:f>'Course Catalogue'!N65</x:f>
        <x:v>Wave 1 – Launch</x:v>
      </x:c>
      <x:c r="L65" s="65" t="str">
        <x:f>'Course Catalogue'!Q65</x:f>
        <x:v>Safe Environment; Community Participation; Transport; Mobility</x:v>
      </x:c>
      <x:c r="M65" s="65" t="str">
        <x:f>'Course Catalogue'!S65</x:f>
        <x:v>https://www.ndiscommission.gov.au/workforce/training-workers/guide-for-ndis-providers/training-your-workers</x:v>
      </x:c>
      <x:c r="N65" s="65" t="str">
        <x:f>'Course Catalogue'!T65</x:f>
        <x:v>Course mapping supports evidence and capability development; it does not guarantee provider compliance.</x:v>
      </x:c>
      <x:c r="O65" s="65" t="str">
        <x:f>'Course Catalogue'!O65</x:f>
        <x:v>Planned</x:v>
      </x:c>
    </x:row>
    <x:row r="66">
      <x:c r="A66" s="65" t="str">
        <x:f>'Course Catalogue'!A66</x:f>
        <x:v>TMC-103</x:v>
      </x:c>
      <x:c r="B66" s="65" t="str">
        <x:f>LEFT('Course Catalogue'!A66,3)</x:f>
        <x:v>TMC</x:v>
      </x:c>
      <x:c r="C66" s="65" t="str">
        <x:f>'Course Catalogue'!C66</x:f>
        <x:v>Wheelchairs and Mobility Devices in Vehicles</x:v>
      </x:c>
      <x:c r="D66" s="65" t="str">
        <x:f>'Course Catalogue'!D66</x:f>
        <x:v>Support workers, drivers, transport coordinators and provider managers</x:v>
      </x:c>
      <x:c r="E66" s="65" t="str">
        <x:f>'Course Catalogue'!E66</x:f>
        <x:v>Foundation</x:v>
      </x:c>
      <x:c r="F66" s="65" t="n">
        <x:f>'Course Catalogue'!G66</x:f>
        <x:v>40</x:v>
      </x:c>
      <x:c r="G66" s="65" t="str">
        <x:f>'Course Catalogue'!F66</x:f>
        <x:v>Self-paced eLearning</x:v>
      </x:c>
      <x:c r="H66" s="65" t="str">
        <x:f>'Course Catalogue'!H66</x:f>
        <x:v>Knowledge quiz and scenario check</x:v>
      </x:c>
      <x:c r="I66" s="65" t="str">
        <x:f>'Course Catalogue'!I66</x:f>
        <x:v>MapAble Academy Certificate of Completion (non-accredited professional development)</x:v>
      </x:c>
      <x:c r="J66" s="65" t="str">
        <x:f>'Course Catalogue'!J66</x:f>
        <x:v>24 months; confirm through provider risk assessment</x:v>
      </x:c>
      <x:c r="K66" s="65" t="str">
        <x:f>'Course Catalogue'!N66</x:f>
        <x:v>Wave 1 – Launch</x:v>
      </x:c>
      <x:c r="L66" s="65" t="str">
        <x:f>'Course Catalogue'!Q66</x:f>
        <x:v>Safe Environment; Community Participation; Transport; Mobility</x:v>
      </x:c>
      <x:c r="M66" s="65" t="str">
        <x:f>'Course Catalogue'!S66</x:f>
        <x:v>https://www.ndiscommission.gov.au/workforce/training-workers/guide-for-ndis-providers/training-your-workers</x:v>
      </x:c>
      <x:c r="N66" s="65" t="str">
        <x:f>'Course Catalogue'!T66</x:f>
        <x:v>Course mapping supports evidence and capability development; it does not guarantee provider compliance.</x:v>
      </x:c>
      <x:c r="O66" s="65" t="str">
        <x:f>'Course Catalogue'!O66</x:f>
        <x:v>Planned</x:v>
      </x:c>
    </x:row>
    <x:row r="67">
      <x:c r="A67" s="65" t="str">
        <x:f>'Course Catalogue'!A67</x:f>
        <x:v>TMC-104</x:v>
      </x:c>
      <x:c r="B67" s="65" t="str">
        <x:f>LEFT('Course Catalogue'!A67,3)</x:f>
        <x:v>TMC</x:v>
      </x:c>
      <x:c r="C67" s="65" t="str">
        <x:f>'Course Catalogue'!C67</x:f>
        <x:v>Driver Responsibilities, Boundaries and Duty of Care</x:v>
      </x:c>
      <x:c r="D67" s="65" t="str">
        <x:f>'Course Catalogue'!D67</x:f>
        <x:v>Support workers, drivers, transport coordinators and provider managers</x:v>
      </x:c>
      <x:c r="E67" s="65" t="str">
        <x:f>'Course Catalogue'!E67</x:f>
        <x:v>Intermediate</x:v>
      </x:c>
      <x:c r="F67" s="65" t="n">
        <x:f>'Course Catalogue'!G67</x:f>
        <x:v>50</x:v>
      </x:c>
      <x:c r="G67" s="65" t="str">
        <x:f>'Course Catalogue'!F67</x:f>
        <x:v>Scenario-based eLearning</x:v>
      </x:c>
      <x:c r="H67" s="65" t="str">
        <x:f>'Course Catalogue'!H67</x:f>
        <x:v>Knowledge quiz and scenario check</x:v>
      </x:c>
      <x:c r="I67" s="65" t="str">
        <x:f>'Course Catalogue'!I67</x:f>
        <x:v>MapAble Academy Certificate of Completion (non-accredited professional development)</x:v>
      </x:c>
      <x:c r="J67" s="65" t="str">
        <x:f>'Course Catalogue'!J67</x:f>
        <x:v>24 months; confirm through provider risk assessment</x:v>
      </x:c>
      <x:c r="K67" s="65" t="str">
        <x:f>'Course Catalogue'!N67</x:f>
        <x:v>Wave 2 – Expansion</x:v>
      </x:c>
      <x:c r="L67" s="65" t="str">
        <x:f>'Course Catalogue'!Q67</x:f>
        <x:v>Safe Environment; Community Participation; Transport; Mobility</x:v>
      </x:c>
      <x:c r="M67" s="65" t="str">
        <x:f>'Course Catalogue'!S67</x:f>
        <x:v>https://www.ndiscommission.gov.au/workforce/training-workers/guide-for-ndis-providers/training-your-workers</x:v>
      </x:c>
      <x:c r="N67" s="65" t="str">
        <x:f>'Course Catalogue'!T67</x:f>
        <x:v>Course mapping supports evidence and capability development; it does not guarantee provider compliance.</x:v>
      </x:c>
      <x:c r="O67" s="65" t="str">
        <x:f>'Course Catalogue'!O67</x:f>
        <x:v>Planned</x:v>
      </x:c>
    </x:row>
    <x:row r="68">
      <x:c r="A68" s="65" t="str">
        <x:f>'Course Catalogue'!A68</x:f>
        <x:v>TMC-105</x:v>
      </x:c>
      <x:c r="B68" s="65" t="str">
        <x:f>LEFT('Course Catalogue'!A68,3)</x:f>
        <x:v>TMC</x:v>
      </x:c>
      <x:c r="C68" s="65" t="str">
        <x:f>'Course Catalogue'!C68</x:f>
        <x:v>Journey Planning, Risk and Participant Preferences</x:v>
      </x:c>
      <x:c r="D68" s="65" t="str">
        <x:f>'Course Catalogue'!D68</x:f>
        <x:v>Support workers, drivers, transport coordinators and provider managers</x:v>
      </x:c>
      <x:c r="E68" s="65" t="str">
        <x:f>'Course Catalogue'!E68</x:f>
        <x:v>Intermediate</x:v>
      </x:c>
      <x:c r="F68" s="65" t="n">
        <x:f>'Course Catalogue'!G68</x:f>
        <x:v>20</x:v>
      </x:c>
      <x:c r="G68" s="65" t="str">
        <x:f>'Course Catalogue'!F68</x:f>
        <x:v>Microlearning + knowledge check</x:v>
      </x:c>
      <x:c r="H68" s="65" t="str">
        <x:f>'Course Catalogue'!H68</x:f>
        <x:v>Knowledge quiz and scenario check</x:v>
      </x:c>
      <x:c r="I68" s="65" t="str">
        <x:f>'Course Catalogue'!I68</x:f>
        <x:v>MapAble Academy Certificate of Completion (non-accredited professional development)</x:v>
      </x:c>
      <x:c r="J68" s="65" t="str">
        <x:f>'Course Catalogue'!J68</x:f>
        <x:v>24 months; confirm through provider risk assessment</x:v>
      </x:c>
      <x:c r="K68" s="65" t="str">
        <x:f>'Course Catalogue'!N68</x:f>
        <x:v>Wave 2 – Expansion</x:v>
      </x:c>
      <x:c r="L68" s="65" t="str">
        <x:f>'Course Catalogue'!Q68</x:f>
        <x:v>Safe Environment; Community Participation; Transport; Mobility</x:v>
      </x:c>
      <x:c r="M68" s="65" t="str">
        <x:f>'Course Catalogue'!S68</x:f>
        <x:v>https://www.ndiscommission.gov.au/workforce/training-workers/guide-for-ndis-providers/training-your-workers</x:v>
      </x:c>
      <x:c r="N68" s="65" t="str">
        <x:f>'Course Catalogue'!T68</x:f>
        <x:v>Course mapping supports evidence and capability development; it does not guarantee provider compliance.</x:v>
      </x:c>
      <x:c r="O68" s="65" t="str">
        <x:f>'Course Catalogue'!O68</x:f>
        <x:v>Planned</x:v>
      </x:c>
    </x:row>
    <x:row r="69">
      <x:c r="A69" s="65" t="str">
        <x:f>'Course Catalogue'!A69</x:f>
        <x:v>TMC-106</x:v>
      </x:c>
      <x:c r="B69" s="65" t="str">
        <x:f>LEFT('Course Catalogue'!A69,3)</x:f>
        <x:v>TMC</x:v>
      </x:c>
      <x:c r="C69" s="65" t="str">
        <x:f>'Course Catalogue'!C69</x:f>
        <x:v>Mobility Scooters, Power Wheelchairs and Battery Safety</x:v>
      </x:c>
      <x:c r="D69" s="65" t="str">
        <x:f>'Course Catalogue'!D69</x:f>
        <x:v>Support workers, drivers, transport coordinators and provider managers</x:v>
      </x:c>
      <x:c r="E69" s="65" t="str">
        <x:f>'Course Catalogue'!E69</x:f>
        <x:v>Intermediate</x:v>
      </x:c>
      <x:c r="F69" s="65" t="n">
        <x:f>'Course Catalogue'!G69</x:f>
        <x:v>30</x:v>
      </x:c>
      <x:c r="G69" s="65" t="str">
        <x:f>'Course Catalogue'!F69</x:f>
        <x:v>Self-paced eLearning</x:v>
      </x:c>
      <x:c r="H69" s="65" t="str">
        <x:f>'Course Catalogue'!H69</x:f>
        <x:v>Knowledge quiz and scenario check</x:v>
      </x:c>
      <x:c r="I69" s="65" t="str">
        <x:f>'Course Catalogue'!I69</x:f>
        <x:v>MapAble Academy Certificate of Completion (non-accredited professional development)</x:v>
      </x:c>
      <x:c r="J69" s="65" t="str">
        <x:f>'Course Catalogue'!J69</x:f>
        <x:v>24 months; confirm through provider risk assessment</x:v>
      </x:c>
      <x:c r="K69" s="65" t="str">
        <x:f>'Course Catalogue'!N69</x:f>
        <x:v>Wave 3 – Specialist</x:v>
      </x:c>
      <x:c r="L69" s="65" t="str">
        <x:f>'Course Catalogue'!Q69</x:f>
        <x:v>Safe Environment; Community Participation; Transport; Mobility</x:v>
      </x:c>
      <x:c r="M69" s="65" t="str">
        <x:f>'Course Catalogue'!S69</x:f>
        <x:v>https://www.ndiscommission.gov.au/workforce/training-workers/guide-for-ndis-providers/training-your-workers</x:v>
      </x:c>
      <x:c r="N69" s="65" t="str">
        <x:f>'Course Catalogue'!T69</x:f>
        <x:v>Course mapping supports evidence and capability development; it does not guarantee provider compliance.</x:v>
      </x:c>
      <x:c r="O69" s="65" t="str">
        <x:f>'Course Catalogue'!O69</x:f>
        <x:v>Planned</x:v>
      </x:c>
    </x:row>
    <x:row r="70">
      <x:c r="A70" s="65" t="str">
        <x:f>'Course Catalogue'!A70</x:f>
        <x:v>TMC-107</x:v>
      </x:c>
      <x:c r="B70" s="65" t="str">
        <x:f>LEFT('Course Catalogue'!A70,3)</x:f>
        <x:v>TMC</x:v>
      </x:c>
      <x:c r="C70" s="65" t="str">
        <x:f>'Course Catalogue'!C70</x:f>
        <x:v>Supporting Public Transport Navigation</x:v>
      </x:c>
      <x:c r="D70" s="65" t="str">
        <x:f>'Course Catalogue'!D70</x:f>
        <x:v>Support workers, drivers, transport coordinators and provider managers</x:v>
      </x:c>
      <x:c r="E70" s="65" t="str">
        <x:f>'Course Catalogue'!E70</x:f>
        <x:v>Intermediate</x:v>
      </x:c>
      <x:c r="F70" s="65" t="n">
        <x:f>'Course Catalogue'!G70</x:f>
        <x:v>40</x:v>
      </x:c>
      <x:c r="G70" s="65" t="str">
        <x:f>'Course Catalogue'!F70</x:f>
        <x:v>Self-paced eLearning</x:v>
      </x:c>
      <x:c r="H70" s="65" t="str">
        <x:f>'Course Catalogue'!H70</x:f>
        <x:v>Knowledge quiz and scenario check</x:v>
      </x:c>
      <x:c r="I70" s="65" t="str">
        <x:f>'Course Catalogue'!I70</x:f>
        <x:v>MapAble Academy Certificate of Completion (non-accredited professional development)</x:v>
      </x:c>
      <x:c r="J70" s="65" t="str">
        <x:f>'Course Catalogue'!J70</x:f>
        <x:v>24 months; confirm through provider risk assessment</x:v>
      </x:c>
      <x:c r="K70" s="65" t="str">
        <x:f>'Course Catalogue'!N70</x:f>
        <x:v>Wave 2 – Expansion</x:v>
      </x:c>
      <x:c r="L70" s="65" t="str">
        <x:f>'Course Catalogue'!Q70</x:f>
        <x:v>Safe Environment; Community Participation; Transport; Mobility</x:v>
      </x:c>
      <x:c r="M70" s="65" t="str">
        <x:f>'Course Catalogue'!S70</x:f>
        <x:v>https://www.ndiscommission.gov.au/workforce/training-workers/guide-for-ndis-providers/training-your-workers</x:v>
      </x:c>
      <x:c r="N70" s="65" t="str">
        <x:f>'Course Catalogue'!T70</x:f>
        <x:v>Course mapping supports evidence and capability development; it does not guarantee provider compliance.</x:v>
      </x:c>
      <x:c r="O70" s="65" t="str">
        <x:f>'Course Catalogue'!O70</x:f>
        <x:v>Planned</x:v>
      </x:c>
    </x:row>
    <x:row r="71">
      <x:c r="A71" s="65" t="str">
        <x:f>'Course Catalogue'!A71</x:f>
        <x:v>TMC-108</x:v>
      </x:c>
      <x:c r="B71" s="65" t="str">
        <x:f>LEFT('Course Catalogue'!A71,3)</x:f>
        <x:v>TMC</x:v>
      </x:c>
      <x:c r="C71" s="65" t="str">
        <x:f>'Course Catalogue'!C71</x:f>
        <x:v>Community Access, Events and Inclusive Participation</x:v>
      </x:c>
      <x:c r="D71" s="65" t="str">
        <x:f>'Course Catalogue'!D71</x:f>
        <x:v>Support workers, drivers, transport coordinators and provider managers</x:v>
      </x:c>
      <x:c r="E71" s="65" t="str">
        <x:f>'Course Catalogue'!E71</x:f>
        <x:v>Advanced</x:v>
      </x:c>
      <x:c r="F71" s="65" t="n">
        <x:f>'Course Catalogue'!G71</x:f>
        <x:v>50</x:v>
      </x:c>
      <x:c r="G71" s="65" t="str">
        <x:f>'Course Catalogue'!F71</x:f>
        <x:v>Scenario-based eLearning</x:v>
      </x:c>
      <x:c r="H71" s="65" t="str">
        <x:f>'Course Catalogue'!H71</x:f>
        <x:v>Knowledge quiz and scenario check</x:v>
      </x:c>
      <x:c r="I71" s="65" t="str">
        <x:f>'Course Catalogue'!I71</x:f>
        <x:v>MapAble Academy Certificate of Completion (non-accredited professional development)</x:v>
      </x:c>
      <x:c r="J71" s="65" t="str">
        <x:f>'Course Catalogue'!J71</x:f>
        <x:v>24 months; confirm through provider risk assessment</x:v>
      </x:c>
      <x:c r="K71" s="65" t="str">
        <x:f>'Course Catalogue'!N71</x:f>
        <x:v>Wave 2 – Expansion</x:v>
      </x:c>
      <x:c r="L71" s="65" t="str">
        <x:f>'Course Catalogue'!Q71</x:f>
        <x:v>Safe Environment; Community Participation; Transport; Mobility</x:v>
      </x:c>
      <x:c r="M71" s="65" t="str">
        <x:f>'Course Catalogue'!S71</x:f>
        <x:v>https://www.ndiscommission.gov.au/workforce/training-workers/guide-for-ndis-providers/training-your-workers</x:v>
      </x:c>
      <x:c r="N71" s="65" t="str">
        <x:f>'Course Catalogue'!T71</x:f>
        <x:v>Course mapping supports evidence and capability development; it does not guarantee provider compliance.</x:v>
      </x:c>
      <x:c r="O71" s="65" t="str">
        <x:f>'Course Catalogue'!O71</x:f>
        <x:v>Planned</x:v>
      </x:c>
    </x:row>
    <x:row r="72">
      <x:c r="A72" s="65" t="str">
        <x:f>'Course Catalogue'!A72</x:f>
        <x:v>TMC-109</x:v>
      </x:c>
      <x:c r="B72" s="65" t="str">
        <x:f>LEFT('Course Catalogue'!A72,3)</x:f>
        <x:v>TMC</x:v>
      </x:c>
      <x:c r="C72" s="65" t="str">
        <x:f>'Course Catalogue'!C72</x:f>
        <x:v>Assistance Animals in Transport and Community Settings</x:v>
      </x:c>
      <x:c r="D72" s="65" t="str">
        <x:f>'Course Catalogue'!D72</x:f>
        <x:v>Support workers, drivers, transport coordinators and provider managers</x:v>
      </x:c>
      <x:c r="E72" s="65" t="str">
        <x:f>'Course Catalogue'!E72</x:f>
        <x:v>Advanced</x:v>
      </x:c>
      <x:c r="F72" s="65" t="n">
        <x:f>'Course Catalogue'!G72</x:f>
        <x:v>20</x:v>
      </x:c>
      <x:c r="G72" s="65" t="str">
        <x:f>'Course Catalogue'!F72</x:f>
        <x:v>Microlearning + knowledge check</x:v>
      </x:c>
      <x:c r="H72" s="65" t="str">
        <x:f>'Course Catalogue'!H72</x:f>
        <x:v>Knowledge quiz and scenario check</x:v>
      </x:c>
      <x:c r="I72" s="65" t="str">
        <x:f>'Course Catalogue'!I72</x:f>
        <x:v>MapAble Academy Certificate of Completion (non-accredited professional development)</x:v>
      </x:c>
      <x:c r="J72" s="65" t="str">
        <x:f>'Course Catalogue'!J72</x:f>
        <x:v>24 months; confirm through provider risk assessment</x:v>
      </x:c>
      <x:c r="K72" s="65" t="str">
        <x:f>'Course Catalogue'!N72</x:f>
        <x:v>Wave 2 – Expansion</x:v>
      </x:c>
      <x:c r="L72" s="65" t="str">
        <x:f>'Course Catalogue'!Q72</x:f>
        <x:v>Safe Environment; Community Participation; Transport; Mobility</x:v>
      </x:c>
      <x:c r="M72" s="65" t="str">
        <x:f>'Course Catalogue'!S72</x:f>
        <x:v>https://www.ndiscommission.gov.au/workforce/training-workers/guide-for-ndis-providers/training-your-workers</x:v>
      </x:c>
      <x:c r="N72" s="65" t="str">
        <x:f>'Course Catalogue'!T72</x:f>
        <x:v>Course mapping supports evidence and capability development; it does not guarantee provider compliance.</x:v>
      </x:c>
      <x:c r="O72" s="65" t="str">
        <x:f>'Course Catalogue'!O72</x:f>
        <x:v>Planned</x:v>
      </x:c>
    </x:row>
    <x:row r="73">
      <x:c r="A73" s="65" t="str">
        <x:f>'Course Catalogue'!A73</x:f>
        <x:v>TMC-110</x:v>
      </x:c>
      <x:c r="B73" s="65" t="str">
        <x:f>LEFT('Course Catalogue'!A73,3)</x:f>
        <x:v>TMC</x:v>
      </x:c>
      <x:c r="C73" s="65" t="str">
        <x:f>'Course Catalogue'!C73</x:f>
        <x:v>Transport Incidents, Breakdowns and Emergency Response</x:v>
      </x:c>
      <x:c r="D73" s="65" t="str">
        <x:f>'Course Catalogue'!D73</x:f>
        <x:v>Support workers, drivers, transport coordinators and provider managers</x:v>
      </x:c>
      <x:c r="E73" s="65" t="str">
        <x:f>'Course Catalogue'!E73</x:f>
        <x:v>Advanced</x:v>
      </x:c>
      <x:c r="F73" s="65" t="n">
        <x:f>'Course Catalogue'!G73</x:f>
        <x:v>30</x:v>
      </x:c>
      <x:c r="G73" s="65" t="str">
        <x:f>'Course Catalogue'!F73</x:f>
        <x:v>Self-paced eLearning</x:v>
      </x:c>
      <x:c r="H73" s="65" t="str">
        <x:f>'Course Catalogue'!H73</x:f>
        <x:v>Knowledge quiz and scenario check</x:v>
      </x:c>
      <x:c r="I73" s="65" t="str">
        <x:f>'Course Catalogue'!I73</x:f>
        <x:v>MapAble Academy Certificate of Completion (non-accredited professional development)</x:v>
      </x:c>
      <x:c r="J73" s="65" t="str">
        <x:f>'Course Catalogue'!J73</x:f>
        <x:v>24 months; confirm through provider risk assessment</x:v>
      </x:c>
      <x:c r="K73" s="65" t="str">
        <x:f>'Course Catalogue'!N73</x:f>
        <x:v>Wave 2 – Expansion</x:v>
      </x:c>
      <x:c r="L73" s="65" t="str">
        <x:f>'Course Catalogue'!Q73</x:f>
        <x:v>Safe Environment; Community Participation; Transport; Mobility</x:v>
      </x:c>
      <x:c r="M73" s="65" t="str">
        <x:f>'Course Catalogue'!S73</x:f>
        <x:v>https://www.ndiscommission.gov.au/workforce/training-workers/guide-for-ndis-providers/training-your-workers</x:v>
      </x:c>
      <x:c r="N73" s="65" t="str">
        <x:f>'Course Catalogue'!T73</x:f>
        <x:v>Course mapping supports evidence and capability development; it does not guarantee provider compliance.</x:v>
      </x:c>
      <x:c r="O73" s="65" t="str">
        <x:f>'Course Catalogue'!O73</x:f>
        <x:v>Planned</x:v>
      </x:c>
    </x:row>
    <x:row r="74">
      <x:c r="A74" s="65" t="str">
        <x:f>'Course Catalogue'!A74</x:f>
        <x:v>EEP-101</x:v>
      </x:c>
      <x:c r="B74" s="65" t="str">
        <x:f>LEFT('Course Catalogue'!A74,3)</x:f>
        <x:v>EEP</x:v>
      </x:c>
      <x:c r="C74" s="65" t="str">
        <x:f>'Course Catalogue'!C74</x:f>
        <x:v>Disability Rights, Work and Economic Participation</x:v>
      </x:c>
      <x:c r="D74" s="65" t="str">
        <x:f>'Course Catalogue'!D74</x:f>
        <x:v>Employment consultants, support workers, educators, employers and provider leaders</x:v>
      </x:c>
      <x:c r="E74" s="65" t="str">
        <x:f>'Course Catalogue'!E74</x:f>
        <x:v>Foundation</x:v>
      </x:c>
      <x:c r="F74" s="65" t="n">
        <x:f>'Course Catalogue'!G74</x:f>
        <x:v>20</x:v>
      </x:c>
      <x:c r="G74" s="65" t="str">
        <x:f>'Course Catalogue'!F74</x:f>
        <x:v>Microlearning + knowledge check</x:v>
      </x:c>
      <x:c r="H74" s="65" t="str">
        <x:f>'Course Catalogue'!H74</x:f>
        <x:v>Knowledge quiz and scenario check</x:v>
      </x:c>
      <x:c r="I74" s="65" t="str">
        <x:f>'Course Catalogue'!I74</x:f>
        <x:v>MapAble Academy Certificate of Completion (non-accredited professional development)</x:v>
      </x:c>
      <x:c r="J74" s="65" t="str">
        <x:f>'Course Catalogue'!J74</x:f>
        <x:v>24 months; confirm through provider risk assessment</x:v>
      </x:c>
      <x:c r="K74" s="65" t="str">
        <x:f>'Course Catalogue'!N74</x:f>
        <x:v>Wave 2 – Expansion</x:v>
      </x:c>
      <x:c r="L74" s="65" t="str">
        <x:f>'Course Catalogue'!Q74</x:f>
        <x:v>Economic Participation; Reasonable Adjustment; Choice and Control</x:v>
      </x:c>
      <x:c r="M74" s="65" t="str">
        <x:f>'Course Catalogue'!S74</x:f>
        <x:v>https://www.ndiscommission.gov.au/workforce/training-workers/guide-for-ndis-providers/training-your-workers</x:v>
      </x:c>
      <x:c r="N74" s="65" t="str">
        <x:f>'Course Catalogue'!T74</x:f>
        <x:v>Course mapping supports evidence and capability development; it does not guarantee provider compliance.</x:v>
      </x:c>
      <x:c r="O74" s="65" t="str">
        <x:f>'Course Catalogue'!O74</x:f>
        <x:v>Planned</x:v>
      </x:c>
    </x:row>
    <x:row r="75">
      <x:c r="A75" s="65" t="str">
        <x:f>'Course Catalogue'!A75</x:f>
        <x:v>EEP-102</x:v>
      </x:c>
      <x:c r="B75" s="65" t="str">
        <x:f>LEFT('Course Catalogue'!A75,3)</x:f>
        <x:v>EEP</x:v>
      </x:c>
      <x:c r="C75" s="65" t="str">
        <x:f>'Course Catalogue'!C75</x:f>
        <x:v>Discovery and Strengths-Based Vocational Planning</x:v>
      </x:c>
      <x:c r="D75" s="65" t="str">
        <x:f>'Course Catalogue'!D75</x:f>
        <x:v>Employment consultants, support workers, educators, employers and provider leaders</x:v>
      </x:c>
      <x:c r="E75" s="65" t="str">
        <x:f>'Course Catalogue'!E75</x:f>
        <x:v>Foundation</x:v>
      </x:c>
      <x:c r="F75" s="65" t="n">
        <x:f>'Course Catalogue'!G75</x:f>
        <x:v>30</x:v>
      </x:c>
      <x:c r="G75" s="65" t="str">
        <x:f>'Course Catalogue'!F75</x:f>
        <x:v>Self-paced eLearning</x:v>
      </x:c>
      <x:c r="H75" s="65" t="str">
        <x:f>'Course Catalogue'!H75</x:f>
        <x:v>Knowledge quiz and scenario check</x:v>
      </x:c>
      <x:c r="I75" s="65" t="str">
        <x:f>'Course Catalogue'!I75</x:f>
        <x:v>MapAble Academy Certificate of Completion (non-accredited professional development)</x:v>
      </x:c>
      <x:c r="J75" s="65" t="str">
        <x:f>'Course Catalogue'!J75</x:f>
        <x:v>24 months; confirm through provider risk assessment</x:v>
      </x:c>
      <x:c r="K75" s="65" t="str">
        <x:f>'Course Catalogue'!N75</x:f>
        <x:v>Wave 2 – Expansion</x:v>
      </x:c>
      <x:c r="L75" s="65" t="str">
        <x:f>'Course Catalogue'!Q75</x:f>
        <x:v>Economic Participation; Reasonable Adjustment; Choice and Control</x:v>
      </x:c>
      <x:c r="M75" s="65" t="str">
        <x:f>'Course Catalogue'!S75</x:f>
        <x:v>https://www.ndiscommission.gov.au/workforce/training-workers/guide-for-ndis-providers/training-your-workers</x:v>
      </x:c>
      <x:c r="N75" s="65" t="str">
        <x:f>'Course Catalogue'!T75</x:f>
        <x:v>Course mapping supports evidence and capability development; it does not guarantee provider compliance.</x:v>
      </x:c>
      <x:c r="O75" s="65" t="str">
        <x:f>'Course Catalogue'!O75</x:f>
        <x:v>Planned</x:v>
      </x:c>
    </x:row>
    <x:row r="76">
      <x:c r="A76" s="65" t="str">
        <x:f>'Course Catalogue'!A76</x:f>
        <x:v>EEP-103</x:v>
      </x:c>
      <x:c r="B76" s="65" t="str">
        <x:f>LEFT('Course Catalogue'!A76,3)</x:f>
        <x:v>EEP</x:v>
      </x:c>
      <x:c r="C76" s="65" t="str">
        <x:f>'Course Catalogue'!C76</x:f>
        <x:v>Job Customisation, Job Carving and Role Design</x:v>
      </x:c>
      <x:c r="D76" s="65" t="str">
        <x:f>'Course Catalogue'!D76</x:f>
        <x:v>Employment consultants, support workers, educators, employers and provider leaders</x:v>
      </x:c>
      <x:c r="E76" s="65" t="str">
        <x:f>'Course Catalogue'!E76</x:f>
        <x:v>Foundation</x:v>
      </x:c>
      <x:c r="F76" s="65" t="n">
        <x:f>'Course Catalogue'!G76</x:f>
        <x:v>40</x:v>
      </x:c>
      <x:c r="G76" s="65" t="str">
        <x:f>'Course Catalogue'!F76</x:f>
        <x:v>Self-paced eLearning</x:v>
      </x:c>
      <x:c r="H76" s="65" t="str">
        <x:f>'Course Catalogue'!H76</x:f>
        <x:v>Knowledge quiz and scenario check</x:v>
      </x:c>
      <x:c r="I76" s="65" t="str">
        <x:f>'Course Catalogue'!I76</x:f>
        <x:v>MapAble Academy Certificate of Completion (non-accredited professional development)</x:v>
      </x:c>
      <x:c r="J76" s="65" t="str">
        <x:f>'Course Catalogue'!J76</x:f>
        <x:v>24 months; confirm through provider risk assessment</x:v>
      </x:c>
      <x:c r="K76" s="65" t="str">
        <x:f>'Course Catalogue'!N76</x:f>
        <x:v>Wave 2 – Expansion</x:v>
      </x:c>
      <x:c r="L76" s="65" t="str">
        <x:f>'Course Catalogue'!Q76</x:f>
        <x:v>Economic Participation; Reasonable Adjustment; Choice and Control</x:v>
      </x:c>
      <x:c r="M76" s="65" t="str">
        <x:f>'Course Catalogue'!S76</x:f>
        <x:v>https://www.ndiscommission.gov.au/workforce/training-workers/guide-for-ndis-providers/training-your-workers</x:v>
      </x:c>
      <x:c r="N76" s="65" t="str">
        <x:f>'Course Catalogue'!T76</x:f>
        <x:v>Course mapping supports evidence and capability development; it does not guarantee provider compliance.</x:v>
      </x:c>
      <x:c r="O76" s="65" t="str">
        <x:f>'Course Catalogue'!O76</x:f>
        <x:v>Planned</x:v>
      </x:c>
    </x:row>
    <x:row r="77">
      <x:c r="A77" s="65" t="str">
        <x:f>'Course Catalogue'!A77</x:f>
        <x:v>EEP-104</x:v>
      </x:c>
      <x:c r="B77" s="65" t="str">
        <x:f>LEFT('Course Catalogue'!A77,3)</x:f>
        <x:v>EEP</x:v>
      </x:c>
      <x:c r="C77" s="65" t="str">
        <x:f>'Course Catalogue'!C77</x:f>
        <x:v>Reasonable Adjustments and Workplace Accessibility</x:v>
      </x:c>
      <x:c r="D77" s="65" t="str">
        <x:f>'Course Catalogue'!D77</x:f>
        <x:v>Employment consultants, support workers, educators, employers and provider leaders</x:v>
      </x:c>
      <x:c r="E77" s="65" t="str">
        <x:f>'Course Catalogue'!E77</x:f>
        <x:v>Intermediate</x:v>
      </x:c>
      <x:c r="F77" s="65" t="n">
        <x:f>'Course Catalogue'!G77</x:f>
        <x:v>50</x:v>
      </x:c>
      <x:c r="G77" s="65" t="str">
        <x:f>'Course Catalogue'!F77</x:f>
        <x:v>Scenario-based eLearning</x:v>
      </x:c>
      <x:c r="H77" s="65" t="str">
        <x:f>'Course Catalogue'!H77</x:f>
        <x:v>Knowledge quiz and scenario check</x:v>
      </x:c>
      <x:c r="I77" s="65" t="str">
        <x:f>'Course Catalogue'!I77</x:f>
        <x:v>MapAble Academy Certificate of Completion (non-accredited professional development)</x:v>
      </x:c>
      <x:c r="J77" s="65" t="str">
        <x:f>'Course Catalogue'!J77</x:f>
        <x:v>24 months; confirm through provider risk assessment</x:v>
      </x:c>
      <x:c r="K77" s="65" t="str">
        <x:f>'Course Catalogue'!N77</x:f>
        <x:v>Wave 2 – Expansion</x:v>
      </x:c>
      <x:c r="L77" s="65" t="str">
        <x:f>'Course Catalogue'!Q77</x:f>
        <x:v>Economic Participation; Reasonable Adjustment; Choice and Control</x:v>
      </x:c>
      <x:c r="M77" s="65" t="str">
        <x:f>'Course Catalogue'!S77</x:f>
        <x:v>https://www.ndiscommission.gov.au/workforce/training-workers/guide-for-ndis-providers/training-your-workers</x:v>
      </x:c>
      <x:c r="N77" s="65" t="str">
        <x:f>'Course Catalogue'!T77</x:f>
        <x:v>Course mapping supports evidence and capability development; it does not guarantee provider compliance.</x:v>
      </x:c>
      <x:c r="O77" s="65" t="str">
        <x:f>'Course Catalogue'!O77</x:f>
        <x:v>Planned</x:v>
      </x:c>
    </x:row>
    <x:row r="78">
      <x:c r="A78" s="65" t="str">
        <x:f>'Course Catalogue'!A78</x:f>
        <x:v>EEP-105</x:v>
      </x:c>
      <x:c r="B78" s="65" t="str">
        <x:f>LEFT('Course Catalogue'!A78,3)</x:f>
        <x:v>EEP</x:v>
      </x:c>
      <x:c r="C78" s="65" t="str">
        <x:f>'Course Catalogue'!C78</x:f>
        <x:v>Accessible Recruitment and Selection</x:v>
      </x:c>
      <x:c r="D78" s="65" t="str">
        <x:f>'Course Catalogue'!D78</x:f>
        <x:v>Employment consultants, support workers, educators, employers and provider leaders</x:v>
      </x:c>
      <x:c r="E78" s="65" t="str">
        <x:f>'Course Catalogue'!E78</x:f>
        <x:v>Intermediate</x:v>
      </x:c>
      <x:c r="F78" s="65" t="n">
        <x:f>'Course Catalogue'!G78</x:f>
        <x:v>20</x:v>
      </x:c>
      <x:c r="G78" s="65" t="str">
        <x:f>'Course Catalogue'!F78</x:f>
        <x:v>Microlearning + knowledge check</x:v>
      </x:c>
      <x:c r="H78" s="65" t="str">
        <x:f>'Course Catalogue'!H78</x:f>
        <x:v>Knowledge quiz and scenario check</x:v>
      </x:c>
      <x:c r="I78" s="65" t="str">
        <x:f>'Course Catalogue'!I78</x:f>
        <x:v>MapAble Academy Certificate of Completion (non-accredited professional development)</x:v>
      </x:c>
      <x:c r="J78" s="65" t="str">
        <x:f>'Course Catalogue'!J78</x:f>
        <x:v>24 months; confirm through provider risk assessment</x:v>
      </x:c>
      <x:c r="K78" s="65" t="str">
        <x:f>'Course Catalogue'!N78</x:f>
        <x:v>Wave 2 – Expansion</x:v>
      </x:c>
      <x:c r="L78" s="65" t="str">
        <x:f>'Course Catalogue'!Q78</x:f>
        <x:v>Economic Participation; Reasonable Adjustment; Choice and Control</x:v>
      </x:c>
      <x:c r="M78" s="65" t="str">
        <x:f>'Course Catalogue'!S78</x:f>
        <x:v>https://www.ndiscommission.gov.au/workforce/training-workers/guide-for-ndis-providers/training-your-workers</x:v>
      </x:c>
      <x:c r="N78" s="65" t="str">
        <x:f>'Course Catalogue'!T78</x:f>
        <x:v>Course mapping supports evidence and capability development; it does not guarantee provider compliance.</x:v>
      </x:c>
      <x:c r="O78" s="65" t="str">
        <x:f>'Course Catalogue'!O78</x:f>
        <x:v>Planned</x:v>
      </x:c>
    </x:row>
    <x:row r="79">
      <x:c r="A79" s="65" t="str">
        <x:f>'Course Catalogue'!A79</x:f>
        <x:v>EEP-106</x:v>
      </x:c>
      <x:c r="B79" s="65" t="str">
        <x:f>LEFT('Course Catalogue'!A79,3)</x:f>
        <x:v>EEP</x:v>
      </x:c>
      <x:c r="C79" s="65" t="str">
        <x:f>'Course Catalogue'!C79</x:f>
        <x:v>Neuroinclusive Workplace Communication</x:v>
      </x:c>
      <x:c r="D79" s="65" t="str">
        <x:f>'Course Catalogue'!D79</x:f>
        <x:v>Employment consultants, support workers, educators, employers and provider leaders</x:v>
      </x:c>
      <x:c r="E79" s="65" t="str">
        <x:f>'Course Catalogue'!E79</x:f>
        <x:v>Intermediate</x:v>
      </x:c>
      <x:c r="F79" s="65" t="n">
        <x:f>'Course Catalogue'!G79</x:f>
        <x:v>30</x:v>
      </x:c>
      <x:c r="G79" s="65" t="str">
        <x:f>'Course Catalogue'!F79</x:f>
        <x:v>Self-paced eLearning</x:v>
      </x:c>
      <x:c r="H79" s="65" t="str">
        <x:f>'Course Catalogue'!H79</x:f>
        <x:v>Knowledge quiz and scenario check</x:v>
      </x:c>
      <x:c r="I79" s="65" t="str">
        <x:f>'Course Catalogue'!I79</x:f>
        <x:v>MapAble Academy Certificate of Completion (non-accredited professional development)</x:v>
      </x:c>
      <x:c r="J79" s="65" t="str">
        <x:f>'Course Catalogue'!J79</x:f>
        <x:v>24 months; confirm through provider risk assessment</x:v>
      </x:c>
      <x:c r="K79" s="65" t="str">
        <x:f>'Course Catalogue'!N79</x:f>
        <x:v>Wave 2 – Expansion</x:v>
      </x:c>
      <x:c r="L79" s="65" t="str">
        <x:f>'Course Catalogue'!Q79</x:f>
        <x:v>Economic Participation; Reasonable Adjustment; Choice and Control</x:v>
      </x:c>
      <x:c r="M79" s="65" t="str">
        <x:f>'Course Catalogue'!S79</x:f>
        <x:v>https://www.ndiscommission.gov.au/workforce/training-workers/guide-for-ndis-providers/training-your-workers</x:v>
      </x:c>
      <x:c r="N79" s="65" t="str">
        <x:f>'Course Catalogue'!T79</x:f>
        <x:v>Course mapping supports evidence and capability development; it does not guarantee provider compliance.</x:v>
      </x:c>
      <x:c r="O79" s="65" t="str">
        <x:f>'Course Catalogue'!O79</x:f>
        <x:v>Planned</x:v>
      </x:c>
    </x:row>
    <x:row r="80">
      <x:c r="A80" s="65" t="str">
        <x:f>'Course Catalogue'!A80</x:f>
        <x:v>EEP-107</x:v>
      </x:c>
      <x:c r="B80" s="65" t="str">
        <x:f>LEFT('Course Catalogue'!A80,3)</x:f>
        <x:v>EEP</x:v>
      </x:c>
      <x:c r="C80" s="65" t="str">
        <x:f>'Course Catalogue'!C80</x:f>
        <x:v>Disclosure, Privacy and Workplace Advocacy</x:v>
      </x:c>
      <x:c r="D80" s="65" t="str">
        <x:f>'Course Catalogue'!D80</x:f>
        <x:v>Employment consultants, support workers, educators, employers and provider leaders</x:v>
      </x:c>
      <x:c r="E80" s="65" t="str">
        <x:f>'Course Catalogue'!E80</x:f>
        <x:v>Intermediate</x:v>
      </x:c>
      <x:c r="F80" s="65" t="n">
        <x:f>'Course Catalogue'!G80</x:f>
        <x:v>40</x:v>
      </x:c>
      <x:c r="G80" s="65" t="str">
        <x:f>'Course Catalogue'!F80</x:f>
        <x:v>Self-paced eLearning</x:v>
      </x:c>
      <x:c r="H80" s="65" t="str">
        <x:f>'Course Catalogue'!H80</x:f>
        <x:v>Knowledge quiz and scenario check</x:v>
      </x:c>
      <x:c r="I80" s="65" t="str">
        <x:f>'Course Catalogue'!I80</x:f>
        <x:v>MapAble Academy Certificate of Completion (non-accredited professional development)</x:v>
      </x:c>
      <x:c r="J80" s="65" t="str">
        <x:f>'Course Catalogue'!J80</x:f>
        <x:v>24 months; confirm through provider risk assessment</x:v>
      </x:c>
      <x:c r="K80" s="65" t="str">
        <x:f>'Course Catalogue'!N80</x:f>
        <x:v>Wave 2 – Expansion</x:v>
      </x:c>
      <x:c r="L80" s="65" t="str">
        <x:f>'Course Catalogue'!Q80</x:f>
        <x:v>Economic Participation; Reasonable Adjustment; Choice and Control</x:v>
      </x:c>
      <x:c r="M80" s="65" t="str">
        <x:f>'Course Catalogue'!S80</x:f>
        <x:v>https://www.ndiscommission.gov.au/workforce/training-workers/guide-for-ndis-providers/training-your-workers</x:v>
      </x:c>
      <x:c r="N80" s="65" t="str">
        <x:f>'Course Catalogue'!T80</x:f>
        <x:v>Course mapping supports evidence and capability development; it does not guarantee provider compliance.</x:v>
      </x:c>
      <x:c r="O80" s="65" t="str">
        <x:f>'Course Catalogue'!O80</x:f>
        <x:v>Planned</x:v>
      </x:c>
    </x:row>
    <x:row r="81">
      <x:c r="A81" s="65" t="str">
        <x:f>'Course Catalogue'!A81</x:f>
        <x:v>EEP-108</x:v>
      </x:c>
      <x:c r="B81" s="65" t="str">
        <x:f>LEFT('Course Catalogue'!A81,3)</x:f>
        <x:v>EEP</x:v>
      </x:c>
      <x:c r="C81" s="65" t="str">
        <x:f>'Course Catalogue'!C81</x:f>
        <x:v>Employer Coaching and Natural Workplace Supports</x:v>
      </x:c>
      <x:c r="D81" s="65" t="str">
        <x:f>'Course Catalogue'!D81</x:f>
        <x:v>Employment consultants, support workers, educators, employers and provider leaders</x:v>
      </x:c>
      <x:c r="E81" s="65" t="str">
        <x:f>'Course Catalogue'!E81</x:f>
        <x:v>Advanced</x:v>
      </x:c>
      <x:c r="F81" s="65" t="n">
        <x:f>'Course Catalogue'!G81</x:f>
        <x:v>50</x:v>
      </x:c>
      <x:c r="G81" s="65" t="str">
        <x:f>'Course Catalogue'!F81</x:f>
        <x:v>Scenario-based eLearning</x:v>
      </x:c>
      <x:c r="H81" s="65" t="str">
        <x:f>'Course Catalogue'!H81</x:f>
        <x:v>Knowledge quiz and scenario check</x:v>
      </x:c>
      <x:c r="I81" s="65" t="str">
        <x:f>'Course Catalogue'!I81</x:f>
        <x:v>MapAble Academy Certificate of Completion (non-accredited professional development)</x:v>
      </x:c>
      <x:c r="J81" s="65" t="str">
        <x:f>'Course Catalogue'!J81</x:f>
        <x:v>24 months; confirm through provider risk assessment</x:v>
      </x:c>
      <x:c r="K81" s="65" t="str">
        <x:f>'Course Catalogue'!N81</x:f>
        <x:v>Wave 2 – Expansion</x:v>
      </x:c>
      <x:c r="L81" s="65" t="str">
        <x:f>'Course Catalogue'!Q81</x:f>
        <x:v>Economic Participation; Reasonable Adjustment; Choice and Control</x:v>
      </x:c>
      <x:c r="M81" s="65" t="str">
        <x:f>'Course Catalogue'!S81</x:f>
        <x:v>https://www.ndiscommission.gov.au/workforce/training-workers/guide-for-ndis-providers/training-your-workers</x:v>
      </x:c>
      <x:c r="N81" s="65" t="str">
        <x:f>'Course Catalogue'!T81</x:f>
        <x:v>Course mapping supports evidence and capability development; it does not guarantee provider compliance.</x:v>
      </x:c>
      <x:c r="O81" s="65" t="str">
        <x:f>'Course Catalogue'!O81</x:f>
        <x:v>Planned</x:v>
      </x:c>
    </x:row>
    <x:row r="82">
      <x:c r="A82" s="65" t="str">
        <x:f>'Course Catalogue'!A82</x:f>
        <x:v>EEP-109</x:v>
      </x:c>
      <x:c r="B82" s="65" t="str">
        <x:f>LEFT('Course Catalogue'!A82,3)</x:f>
        <x:v>EEP</x:v>
      </x:c>
      <x:c r="C82" s="65" t="str">
        <x:f>'Course Catalogue'!C82</x:f>
        <x:v>Transition from School or Education to Employment</x:v>
      </x:c>
      <x:c r="D82" s="65" t="str">
        <x:f>'Course Catalogue'!D82</x:f>
        <x:v>Employment consultants, support workers, educators, employers and provider leaders</x:v>
      </x:c>
      <x:c r="E82" s="65" t="str">
        <x:f>'Course Catalogue'!E82</x:f>
        <x:v>Advanced</x:v>
      </x:c>
      <x:c r="F82" s="65" t="n">
        <x:f>'Course Catalogue'!G82</x:f>
        <x:v>20</x:v>
      </x:c>
      <x:c r="G82" s="65" t="str">
        <x:f>'Course Catalogue'!F82</x:f>
        <x:v>Microlearning + knowledge check</x:v>
      </x:c>
      <x:c r="H82" s="65" t="str">
        <x:f>'Course Catalogue'!H82</x:f>
        <x:v>Knowledge quiz and scenario check</x:v>
      </x:c>
      <x:c r="I82" s="65" t="str">
        <x:f>'Course Catalogue'!I82</x:f>
        <x:v>MapAble Academy Certificate of Completion (non-accredited professional development)</x:v>
      </x:c>
      <x:c r="J82" s="65" t="str">
        <x:f>'Course Catalogue'!J82</x:f>
        <x:v>24 months; confirm through provider risk assessment</x:v>
      </x:c>
      <x:c r="K82" s="65" t="str">
        <x:f>'Course Catalogue'!N82</x:f>
        <x:v>Wave 2 – Expansion</x:v>
      </x:c>
      <x:c r="L82" s="65" t="str">
        <x:f>'Course Catalogue'!Q82</x:f>
        <x:v>Economic Participation; Reasonable Adjustment; Choice and Control</x:v>
      </x:c>
      <x:c r="M82" s="65" t="str">
        <x:f>'Course Catalogue'!S82</x:f>
        <x:v>https://www.ndiscommission.gov.au/workforce/training-workers/guide-for-ndis-providers/training-your-workers</x:v>
      </x:c>
      <x:c r="N82" s="65" t="str">
        <x:f>'Course Catalogue'!T82</x:f>
        <x:v>Course mapping supports evidence and capability development; it does not guarantee provider compliance.</x:v>
      </x:c>
      <x:c r="O82" s="65" t="str">
        <x:f>'Course Catalogue'!O82</x:f>
        <x:v>Planned</x:v>
      </x:c>
    </x:row>
    <x:row r="83">
      <x:c r="A83" s="65" t="str">
        <x:f>'Course Catalogue'!A83</x:f>
        <x:v>EEP-110</x:v>
      </x:c>
      <x:c r="B83" s="65" t="str">
        <x:f>LEFT('Course Catalogue'!A83,3)</x:f>
        <x:v>EEP</x:v>
      </x:c>
      <x:c r="C83" s="65" t="str">
        <x:f>'Course Catalogue'!C83</x:f>
        <x:v>Sustaining Employment and Resolving Workplace Barriers</x:v>
      </x:c>
      <x:c r="D83" s="65" t="str">
        <x:f>'Course Catalogue'!D83</x:f>
        <x:v>Employment consultants, support workers, educators, employers and provider leaders</x:v>
      </x:c>
      <x:c r="E83" s="65" t="str">
        <x:f>'Course Catalogue'!E83</x:f>
        <x:v>Advanced</x:v>
      </x:c>
      <x:c r="F83" s="65" t="n">
        <x:f>'Course Catalogue'!G83</x:f>
        <x:v>30</x:v>
      </x:c>
      <x:c r="G83" s="65" t="str">
        <x:f>'Course Catalogue'!F83</x:f>
        <x:v>Self-paced eLearning</x:v>
      </x:c>
      <x:c r="H83" s="65" t="str">
        <x:f>'Course Catalogue'!H83</x:f>
        <x:v>Knowledge quiz and scenario check</x:v>
      </x:c>
      <x:c r="I83" s="65" t="str">
        <x:f>'Course Catalogue'!I83</x:f>
        <x:v>MapAble Academy Certificate of Completion (non-accredited professional development)</x:v>
      </x:c>
      <x:c r="J83" s="65" t="str">
        <x:f>'Course Catalogue'!J83</x:f>
        <x:v>24 months; confirm through provider risk assessment</x:v>
      </x:c>
      <x:c r="K83" s="65" t="str">
        <x:f>'Course Catalogue'!N83</x:f>
        <x:v>Wave 2 – Expansion</x:v>
      </x:c>
      <x:c r="L83" s="65" t="str">
        <x:f>'Course Catalogue'!Q83</x:f>
        <x:v>Economic Participation; Reasonable Adjustment; Choice and Control</x:v>
      </x:c>
      <x:c r="M83" s="65" t="str">
        <x:f>'Course Catalogue'!S83</x:f>
        <x:v>https://www.ndiscommission.gov.au/workforce/training-workers/guide-for-ndis-providers/training-your-workers</x:v>
      </x:c>
      <x:c r="N83" s="65" t="str">
        <x:f>'Course Catalogue'!T83</x:f>
        <x:v>Course mapping supports evidence and capability development; it does not guarantee provider compliance.</x:v>
      </x:c>
      <x:c r="O83" s="65" t="str">
        <x:f>'Course Catalogue'!O83</x:f>
        <x:v>Planned</x:v>
      </x:c>
    </x:row>
    <x:row r="84">
      <x:c r="A84" s="65" t="str">
        <x:f>'Course Catalogue'!A84</x:f>
        <x:v>SNP-101</x:v>
      </x:c>
      <x:c r="B84" s="65" t="str">
        <x:f>LEFT('Course Catalogue'!A84,3)</x:f>
        <x:v>SNP</x:v>
      </x:c>
      <x:c r="C84" s="65" t="str">
        <x:f>'Course Catalogue'!C84</x:f>
        <x:v>Support Coordination Foundations</x:v>
      </x:c>
      <x:c r="D84" s="65" t="str">
        <x:f>'Course Catalogue'!D84</x:f>
        <x:v>Support coordinators, recovery coaches, plan managers and provider leaders</x:v>
      </x:c>
      <x:c r="E84" s="65" t="str">
        <x:f>'Course Catalogue'!E84</x:f>
        <x:v>Foundation</x:v>
      </x:c>
      <x:c r="F84" s="65" t="n">
        <x:f>'Course Catalogue'!G84</x:f>
        <x:v>20</x:v>
      </x:c>
      <x:c r="G84" s="65" t="str">
        <x:f>'Course Catalogue'!F84</x:f>
        <x:v>Microlearning + knowledge check</x:v>
      </x:c>
      <x:c r="H84" s="65" t="str">
        <x:f>'Course Catalogue'!H84</x:f>
        <x:v>Knowledge quiz and scenario check</x:v>
      </x:c>
      <x:c r="I84" s="65" t="str">
        <x:f>'Course Catalogue'!I84</x:f>
        <x:v>MapAble Academy Certificate of Completion (non-accredited professional development)</x:v>
      </x:c>
      <x:c r="J84" s="65" t="str">
        <x:f>'Course Catalogue'!J84</x:f>
        <x:v>24 months; confirm through provider risk assessment</x:v>
      </x:c>
      <x:c r="K84" s="65" t="str">
        <x:f>'Course Catalogue'!N84</x:f>
        <x:v>Wave 2 – Expansion</x:v>
      </x:c>
      <x:c r="L84" s="65" t="str">
        <x:f>'Course Catalogue'!Q84</x:f>
        <x:v>Support Coordination; Plan Implementation; Conflict of Interest; Service Agreements</x:v>
      </x:c>
      <x:c r="M84" s="65" t="str">
        <x:f>'Course Catalogue'!S84</x:f>
        <x:v>https://www.ndiscommission.gov.au/rules-and-standards/ndis-practice-standards</x:v>
      </x:c>
      <x:c r="N84" s="65" t="str">
        <x:f>'Course Catalogue'!T84</x:f>
        <x:v>Course mapping supports evidence and capability development; it does not guarantee provider compliance.</x:v>
      </x:c>
      <x:c r="O84" s="65" t="str">
        <x:f>'Course Catalogue'!O84</x:f>
        <x:v>Planned</x:v>
      </x:c>
    </x:row>
    <x:row r="85">
      <x:c r="A85" s="65" t="str">
        <x:f>'Course Catalogue'!A85</x:f>
        <x:v>SNP-102</x:v>
      </x:c>
      <x:c r="B85" s="65" t="str">
        <x:f>LEFT('Course Catalogue'!A85,3)</x:f>
        <x:v>SNP</x:v>
      </x:c>
      <x:c r="C85" s="65" t="str">
        <x:f>'Course Catalogue'!C85</x:f>
        <x:v>Implementing an NDIS Plan with the Participant</x:v>
      </x:c>
      <x:c r="D85" s="65" t="str">
        <x:f>'Course Catalogue'!D85</x:f>
        <x:v>Support coordinators, recovery coaches, plan managers and provider leaders</x:v>
      </x:c>
      <x:c r="E85" s="65" t="str">
        <x:f>'Course Catalogue'!E85</x:f>
        <x:v>Foundation</x:v>
      </x:c>
      <x:c r="F85" s="65" t="n">
        <x:f>'Course Catalogue'!G85</x:f>
        <x:v>30</x:v>
      </x:c>
      <x:c r="G85" s="65" t="str">
        <x:f>'Course Catalogue'!F85</x:f>
        <x:v>Self-paced eLearning</x:v>
      </x:c>
      <x:c r="H85" s="65" t="str">
        <x:f>'Course Catalogue'!H85</x:f>
        <x:v>Knowledge quiz and scenario check</x:v>
      </x:c>
      <x:c r="I85" s="65" t="str">
        <x:f>'Course Catalogue'!I85</x:f>
        <x:v>MapAble Academy Certificate of Completion (non-accredited professional development)</x:v>
      </x:c>
      <x:c r="J85" s="65" t="str">
        <x:f>'Course Catalogue'!J85</x:f>
        <x:v>24 months; confirm through provider risk assessment</x:v>
      </x:c>
      <x:c r="K85" s="65" t="str">
        <x:f>'Course Catalogue'!N85</x:f>
        <x:v>Wave 2 – Expansion</x:v>
      </x:c>
      <x:c r="L85" s="65" t="str">
        <x:f>'Course Catalogue'!Q85</x:f>
        <x:v>Support Coordination; Plan Implementation; Conflict of Interest; Service Agreements</x:v>
      </x:c>
      <x:c r="M85" s="65" t="str">
        <x:f>'Course Catalogue'!S85</x:f>
        <x:v>https://www.ndiscommission.gov.au/rules-and-standards/ndis-practice-standards</x:v>
      </x:c>
      <x:c r="N85" s="65" t="str">
        <x:f>'Course Catalogue'!T85</x:f>
        <x:v>Course mapping supports evidence and capability development; it does not guarantee provider compliance.</x:v>
      </x:c>
      <x:c r="O85" s="65" t="str">
        <x:f>'Course Catalogue'!O85</x:f>
        <x:v>Planned</x:v>
      </x:c>
    </x:row>
    <x:row r="86">
      <x:c r="A86" s="65" t="str">
        <x:f>'Course Catalogue'!A86</x:f>
        <x:v>SNP-103</x:v>
      </x:c>
      <x:c r="B86" s="65" t="str">
        <x:f>LEFT('Course Catalogue'!A86,3)</x:f>
        <x:v>SNP</x:v>
      </x:c>
      <x:c r="C86" s="65" t="str">
        <x:f>'Course Catalogue'!C86</x:f>
        <x:v>Funding Categories, Budgets and Plan Utilisation</x:v>
      </x:c>
      <x:c r="D86" s="65" t="str">
        <x:f>'Course Catalogue'!D86</x:f>
        <x:v>Support coordinators, recovery coaches, plan managers and provider leaders</x:v>
      </x:c>
      <x:c r="E86" s="65" t="str">
        <x:f>'Course Catalogue'!E86</x:f>
        <x:v>Foundation</x:v>
      </x:c>
      <x:c r="F86" s="65" t="n">
        <x:f>'Course Catalogue'!G86</x:f>
        <x:v>40</x:v>
      </x:c>
      <x:c r="G86" s="65" t="str">
        <x:f>'Course Catalogue'!F86</x:f>
        <x:v>Self-paced eLearning</x:v>
      </x:c>
      <x:c r="H86" s="65" t="str">
        <x:f>'Course Catalogue'!H86</x:f>
        <x:v>Knowledge quiz and scenario check</x:v>
      </x:c>
      <x:c r="I86" s="65" t="str">
        <x:f>'Course Catalogue'!I86</x:f>
        <x:v>MapAble Academy Certificate of Completion (non-accredited professional development)</x:v>
      </x:c>
      <x:c r="J86" s="65" t="str">
        <x:f>'Course Catalogue'!J86</x:f>
        <x:v>24 months; confirm through provider risk assessment</x:v>
      </x:c>
      <x:c r="K86" s="65" t="str">
        <x:f>'Course Catalogue'!N86</x:f>
        <x:v>Wave 2 – Expansion</x:v>
      </x:c>
      <x:c r="L86" s="65" t="str">
        <x:f>'Course Catalogue'!Q86</x:f>
        <x:v>Support Coordination; Plan Implementation; Conflict of Interest; Service Agreements</x:v>
      </x:c>
      <x:c r="M86" s="65" t="str">
        <x:f>'Course Catalogue'!S86</x:f>
        <x:v>https://www.ndiscommission.gov.au/rules-and-standards/ndis-practice-standards</x:v>
      </x:c>
      <x:c r="N86" s="65" t="str">
        <x:f>'Course Catalogue'!T86</x:f>
        <x:v>Course mapping supports evidence and capability development; it does not guarantee provider compliance.</x:v>
      </x:c>
      <x:c r="O86" s="65" t="str">
        <x:f>'Course Catalogue'!O86</x:f>
        <x:v>Planned</x:v>
      </x:c>
    </x:row>
    <x:row r="87">
      <x:c r="A87" s="65" t="str">
        <x:f>'Course Catalogue'!A87</x:f>
        <x:v>SNP-104</x:v>
      </x:c>
      <x:c r="B87" s="65" t="str">
        <x:f>LEFT('Course Catalogue'!A87,3)</x:f>
        <x:v>SNP</x:v>
      </x:c>
      <x:c r="C87" s="65" t="str">
        <x:f>'Course Catalogue'!C87</x:f>
        <x:v>Service Agreements, Consent and Clear Expectations</x:v>
      </x:c>
      <x:c r="D87" s="65" t="str">
        <x:f>'Course Catalogue'!D87</x:f>
        <x:v>Support coordinators, recovery coaches, plan managers and provider leaders</x:v>
      </x:c>
      <x:c r="E87" s="65" t="str">
        <x:f>'Course Catalogue'!E87</x:f>
        <x:v>Intermediate</x:v>
      </x:c>
      <x:c r="F87" s="65" t="n">
        <x:f>'Course Catalogue'!G87</x:f>
        <x:v>50</x:v>
      </x:c>
      <x:c r="G87" s="65" t="str">
        <x:f>'Course Catalogue'!F87</x:f>
        <x:v>Scenario-based eLearning</x:v>
      </x:c>
      <x:c r="H87" s="65" t="str">
        <x:f>'Course Catalogue'!H87</x:f>
        <x:v>Knowledge quiz and scenario check</x:v>
      </x:c>
      <x:c r="I87" s="65" t="str">
        <x:f>'Course Catalogue'!I87</x:f>
        <x:v>MapAble Academy Certificate of Completion (non-accredited professional development)</x:v>
      </x:c>
      <x:c r="J87" s="65" t="str">
        <x:f>'Course Catalogue'!J87</x:f>
        <x:v>24 months; confirm through provider risk assessment</x:v>
      </x:c>
      <x:c r="K87" s="65" t="str">
        <x:f>'Course Catalogue'!N87</x:f>
        <x:v>Wave 2 – Expansion</x:v>
      </x:c>
      <x:c r="L87" s="65" t="str">
        <x:f>'Course Catalogue'!Q87</x:f>
        <x:v>Support Coordination; Plan Implementation; Conflict of Interest; Service Agreements</x:v>
      </x:c>
      <x:c r="M87" s="65" t="str">
        <x:f>'Course Catalogue'!S87</x:f>
        <x:v>https://www.ndiscommission.gov.au/rules-and-standards/ndis-practice-standards</x:v>
      </x:c>
      <x:c r="N87" s="65" t="str">
        <x:f>'Course Catalogue'!T87</x:f>
        <x:v>Course mapping supports evidence and capability development; it does not guarantee provider compliance.</x:v>
      </x:c>
      <x:c r="O87" s="65" t="str">
        <x:f>'Course Catalogue'!O87</x:f>
        <x:v>Planned</x:v>
      </x:c>
    </x:row>
    <x:row r="88">
      <x:c r="A88" s="65" t="str">
        <x:f>'Course Catalogue'!A88</x:f>
        <x:v>SNP-105</x:v>
      </x:c>
      <x:c r="B88" s="65" t="str">
        <x:f>LEFT('Course Catalogue'!A88,3)</x:f>
        <x:v>SNP</x:v>
      </x:c>
      <x:c r="C88" s="65" t="str">
        <x:f>'Course Catalogue'!C88</x:f>
        <x:v>Conflict of Interest and Participant-Led Provider Choice</x:v>
      </x:c>
      <x:c r="D88" s="65" t="str">
        <x:f>'Course Catalogue'!D88</x:f>
        <x:v>Support coordinators, recovery coaches, plan managers and provider leaders</x:v>
      </x:c>
      <x:c r="E88" s="65" t="str">
        <x:f>'Course Catalogue'!E88</x:f>
        <x:v>Intermediate</x:v>
      </x:c>
      <x:c r="F88" s="65" t="n">
        <x:f>'Course Catalogue'!G88</x:f>
        <x:v>20</x:v>
      </x:c>
      <x:c r="G88" s="65" t="str">
        <x:f>'Course Catalogue'!F88</x:f>
        <x:v>Microlearning + knowledge check</x:v>
      </x:c>
      <x:c r="H88" s="65" t="str">
        <x:f>'Course Catalogue'!H88</x:f>
        <x:v>Knowledge quiz and scenario check</x:v>
      </x:c>
      <x:c r="I88" s="65" t="str">
        <x:f>'Course Catalogue'!I88</x:f>
        <x:v>MapAble Academy Certificate of Completion (non-accredited professional development)</x:v>
      </x:c>
      <x:c r="J88" s="65" t="str">
        <x:f>'Course Catalogue'!J88</x:f>
        <x:v>24 months; confirm through provider risk assessment</x:v>
      </x:c>
      <x:c r="K88" s="65" t="str">
        <x:f>'Course Catalogue'!N88</x:f>
        <x:v>Wave 2 – Expansion</x:v>
      </x:c>
      <x:c r="L88" s="65" t="str">
        <x:f>'Course Catalogue'!Q88</x:f>
        <x:v>Support Coordination; Plan Implementation; Conflict of Interest; Service Agreements</x:v>
      </x:c>
      <x:c r="M88" s="65" t="str">
        <x:f>'Course Catalogue'!S88</x:f>
        <x:v>https://www.ndiscommission.gov.au/rules-and-standards/ndis-practice-standards</x:v>
      </x:c>
      <x:c r="N88" s="65" t="str">
        <x:f>'Course Catalogue'!T88</x:f>
        <x:v>Course mapping supports evidence and capability development; it does not guarantee provider compliance.</x:v>
      </x:c>
      <x:c r="O88" s="65" t="str">
        <x:f>'Course Catalogue'!O88</x:f>
        <x:v>Planned</x:v>
      </x:c>
    </x:row>
    <x:row r="89">
      <x:c r="A89" s="65" t="str">
        <x:f>'Course Catalogue'!A89</x:f>
        <x:v>SNP-106</x:v>
      </x:c>
      <x:c r="B89" s="65" t="str">
        <x:f>LEFT('Course Catalogue'!A89,3)</x:f>
        <x:v>SNP</x:v>
      </x:c>
      <x:c r="C89" s="65" t="str">
        <x:f>'Course Catalogue'!C89</x:f>
        <x:v>Finding, Comparing and Monitoring Providers</x:v>
      </x:c>
      <x:c r="D89" s="65" t="str">
        <x:f>'Course Catalogue'!D89</x:f>
        <x:v>Support coordinators, recovery coaches, plan managers and provider leaders</x:v>
      </x:c>
      <x:c r="E89" s="65" t="str">
        <x:f>'Course Catalogue'!E89</x:f>
        <x:v>Intermediate</x:v>
      </x:c>
      <x:c r="F89" s="65" t="n">
        <x:f>'Course Catalogue'!G89</x:f>
        <x:v>30</x:v>
      </x:c>
      <x:c r="G89" s="65" t="str">
        <x:f>'Course Catalogue'!F89</x:f>
        <x:v>Self-paced eLearning</x:v>
      </x:c>
      <x:c r="H89" s="65" t="str">
        <x:f>'Course Catalogue'!H89</x:f>
        <x:v>Case study and applied action plan</x:v>
      </x:c>
      <x:c r="I89" s="65" t="str">
        <x:f>'Course Catalogue'!I89</x:f>
        <x:v>MapAble Academy Certificate of Completion (non-accredited professional development)</x:v>
      </x:c>
      <x:c r="J89" s="65" t="str">
        <x:f>'Course Catalogue'!J89</x:f>
        <x:v>24 months; confirm through provider risk assessment</x:v>
      </x:c>
      <x:c r="K89" s="65" t="str">
        <x:f>'Course Catalogue'!N89</x:f>
        <x:v>Wave 2 – Expansion</x:v>
      </x:c>
      <x:c r="L89" s="65" t="str">
        <x:f>'Course Catalogue'!Q89</x:f>
        <x:v>Support Coordination; Plan Implementation; Conflict of Interest; Service Agreements</x:v>
      </x:c>
      <x:c r="M89" s="65" t="str">
        <x:f>'Course Catalogue'!S89</x:f>
        <x:v>https://www.ndiscommission.gov.au/rules-and-standards/ndis-practice-standards</x:v>
      </x:c>
      <x:c r="N89" s="65" t="str">
        <x:f>'Course Catalogue'!T89</x:f>
        <x:v>Course mapping supports evidence and capability development; it does not guarantee provider compliance.</x:v>
      </x:c>
      <x:c r="O89" s="65" t="str">
        <x:f>'Course Catalogue'!O89</x:f>
        <x:v>Planned</x:v>
      </x:c>
    </x:row>
    <x:row r="90">
      <x:c r="A90" s="65" t="str">
        <x:f>'Course Catalogue'!A90</x:f>
        <x:v>SNP-107</x:v>
      </x:c>
      <x:c r="B90" s="65" t="str">
        <x:f>LEFT('Course Catalogue'!A90,3)</x:f>
        <x:v>SNP</x:v>
      </x:c>
      <x:c r="C90" s="65" t="str">
        <x:f>'Course Catalogue'!C90</x:f>
        <x:v>Plan Reassessments, Variations and Change of Circumstances</x:v>
      </x:c>
      <x:c r="D90" s="65" t="str">
        <x:f>'Course Catalogue'!D90</x:f>
        <x:v>Support coordinators, recovery coaches, plan managers and provider leaders</x:v>
      </x:c>
      <x:c r="E90" s="65" t="str">
        <x:f>'Course Catalogue'!E90</x:f>
        <x:v>Intermediate</x:v>
      </x:c>
      <x:c r="F90" s="65" t="n">
        <x:f>'Course Catalogue'!G90</x:f>
        <x:v>40</x:v>
      </x:c>
      <x:c r="G90" s="65" t="str">
        <x:f>'Course Catalogue'!F90</x:f>
        <x:v>Scenario lab / facilitated workshop</x:v>
      </x:c>
      <x:c r="H90" s="65" t="str">
        <x:f>'Course Catalogue'!H90</x:f>
        <x:v>Case study and applied action plan</x:v>
      </x:c>
      <x:c r="I90" s="65" t="str">
        <x:f>'Course Catalogue'!I90</x:f>
        <x:v>MapAble Academy Certificate of Completion (non-accredited professional development)</x:v>
      </x:c>
      <x:c r="J90" s="65" t="str">
        <x:f>'Course Catalogue'!J90</x:f>
        <x:v>24 months; confirm through provider risk assessment</x:v>
      </x:c>
      <x:c r="K90" s="65" t="str">
        <x:f>'Course Catalogue'!N90</x:f>
        <x:v>Wave 3 – Specialist</x:v>
      </x:c>
      <x:c r="L90" s="65" t="str">
        <x:f>'Course Catalogue'!Q90</x:f>
        <x:v>Support Coordination; Plan Implementation; Conflict of Interest; Service Agreements</x:v>
      </x:c>
      <x:c r="M90" s="65" t="str">
        <x:f>'Course Catalogue'!S90</x:f>
        <x:v>https://www.ndiscommission.gov.au/rules-and-standards/ndis-practice-standards</x:v>
      </x:c>
      <x:c r="N90" s="65" t="str">
        <x:f>'Course Catalogue'!T90</x:f>
        <x:v>Course mapping supports evidence and capability development; it does not guarantee provider compliance.</x:v>
      </x:c>
      <x:c r="O90" s="65" t="str">
        <x:f>'Course Catalogue'!O90</x:f>
        <x:v>Planned</x:v>
      </x:c>
    </x:row>
    <x:row r="91">
      <x:c r="A91" s="65" t="str">
        <x:f>'Course Catalogue'!A91</x:f>
        <x:v>SNP-108</x:v>
      </x:c>
      <x:c r="B91" s="65" t="str">
        <x:f>LEFT('Course Catalogue'!A91,3)</x:f>
        <x:v>SNP</x:v>
      </x:c>
      <x:c r="C91" s="65" t="str">
        <x:f>'Course Catalogue'!C91</x:f>
        <x:v>Crisis Planning, Continuity and Service Recovery</x:v>
      </x:c>
      <x:c r="D91" s="65" t="str">
        <x:f>'Course Catalogue'!D91</x:f>
        <x:v>Support coordinators, recovery coaches, plan managers and provider leaders</x:v>
      </x:c>
      <x:c r="E91" s="65" t="str">
        <x:f>'Course Catalogue'!E91</x:f>
        <x:v>Advanced</x:v>
      </x:c>
      <x:c r="F91" s="65" t="n">
        <x:f>'Course Catalogue'!G91</x:f>
        <x:v>50</x:v>
      </x:c>
      <x:c r="G91" s="65" t="str">
        <x:f>'Course Catalogue'!F91</x:f>
        <x:v>Scenario lab / facilitated workshop</x:v>
      </x:c>
      <x:c r="H91" s="65" t="str">
        <x:f>'Course Catalogue'!H91</x:f>
        <x:v>Case study and applied action plan</x:v>
      </x:c>
      <x:c r="I91" s="65" t="str">
        <x:f>'Course Catalogue'!I91</x:f>
        <x:v>MapAble Academy Certificate of Completion (non-accredited professional development)</x:v>
      </x:c>
      <x:c r="J91" s="65" t="str">
        <x:f>'Course Catalogue'!J91</x:f>
        <x:v>24 months; confirm through provider risk assessment</x:v>
      </x:c>
      <x:c r="K91" s="65" t="str">
        <x:f>'Course Catalogue'!N91</x:f>
        <x:v>Wave 3 – Specialist</x:v>
      </x:c>
      <x:c r="L91" s="65" t="str">
        <x:f>'Course Catalogue'!Q91</x:f>
        <x:v>Support Coordination; Plan Implementation; Conflict of Interest; Service Agreements</x:v>
      </x:c>
      <x:c r="M91" s="65" t="str">
        <x:f>'Course Catalogue'!S91</x:f>
        <x:v>https://www.ndiscommission.gov.au/rules-and-standards/ndis-practice-standards</x:v>
      </x:c>
      <x:c r="N91" s="65" t="str">
        <x:f>'Course Catalogue'!T91</x:f>
        <x:v>Course mapping supports evidence and capability development; it does not guarantee provider compliance.</x:v>
      </x:c>
      <x:c r="O91" s="65" t="str">
        <x:f>'Course Catalogue'!O91</x:f>
        <x:v>Planned</x:v>
      </x:c>
    </x:row>
    <x:row r="92">
      <x:c r="A92" s="65" t="str">
        <x:f>'Course Catalogue'!A92</x:f>
        <x:v>SNP-109</x:v>
      </x:c>
      <x:c r="B92" s="65" t="str">
        <x:f>LEFT('Course Catalogue'!A92,3)</x:f>
        <x:v>SNP</x:v>
      </x:c>
      <x:c r="C92" s="65" t="str">
        <x:f>'Course Catalogue'!C92</x:f>
        <x:v>Collaborative Case Conferences and Multidisciplinary Practice</x:v>
      </x:c>
      <x:c r="D92" s="65" t="str">
        <x:f>'Course Catalogue'!D92</x:f>
        <x:v>Support coordinators, recovery coaches, plan managers and provider leaders</x:v>
      </x:c>
      <x:c r="E92" s="65" t="str">
        <x:f>'Course Catalogue'!E92</x:f>
        <x:v>Advanced</x:v>
      </x:c>
      <x:c r="F92" s="65" t="n">
        <x:f>'Course Catalogue'!G92</x:f>
        <x:v>20</x:v>
      </x:c>
      <x:c r="G92" s="65" t="str">
        <x:f>'Course Catalogue'!F92</x:f>
        <x:v>Scenario lab / facilitated workshop</x:v>
      </x:c>
      <x:c r="H92" s="65" t="str">
        <x:f>'Course Catalogue'!H92</x:f>
        <x:v>Case study and applied action plan</x:v>
      </x:c>
      <x:c r="I92" s="65" t="str">
        <x:f>'Course Catalogue'!I92</x:f>
        <x:v>MapAble Academy Certificate of Completion (non-accredited professional development)</x:v>
      </x:c>
      <x:c r="J92" s="65" t="str">
        <x:f>'Course Catalogue'!J92</x:f>
        <x:v>24 months; confirm through provider risk assessment</x:v>
      </x:c>
      <x:c r="K92" s="65" t="str">
        <x:f>'Course Catalogue'!N92</x:f>
        <x:v>Wave 3 – Specialist</x:v>
      </x:c>
      <x:c r="L92" s="65" t="str">
        <x:f>'Course Catalogue'!Q92</x:f>
        <x:v>Support Coordination; Plan Implementation; Conflict of Interest; Service Agreements</x:v>
      </x:c>
      <x:c r="M92" s="65" t="str">
        <x:f>'Course Catalogue'!S92</x:f>
        <x:v>https://www.ndiscommission.gov.au/rules-and-standards/ndis-practice-standards</x:v>
      </x:c>
      <x:c r="N92" s="65" t="str">
        <x:f>'Course Catalogue'!T92</x:f>
        <x:v>Course mapping supports evidence and capability development; it does not guarantee provider compliance.</x:v>
      </x:c>
      <x:c r="O92" s="65" t="str">
        <x:f>'Course Catalogue'!O92</x:f>
        <x:v>Planned</x:v>
      </x:c>
    </x:row>
    <x:row r="93">
      <x:c r="A93" s="65" t="str">
        <x:f>'Course Catalogue'!A93</x:f>
        <x:v>SNP-110</x:v>
      </x:c>
      <x:c r="B93" s="65" t="str">
        <x:f>LEFT('Course Catalogue'!A93,3)</x:f>
        <x:v>SNP</x:v>
      </x:c>
      <x:c r="C93" s="65" t="str">
        <x:f>'Course Catalogue'!C93</x:f>
        <x:v>Plan Management, Invoice Literacy and Querying Charges</x:v>
      </x:c>
      <x:c r="D93" s="65" t="str">
        <x:f>'Course Catalogue'!D93</x:f>
        <x:v>Support coordinators, recovery coaches, plan managers and provider leaders</x:v>
      </x:c>
      <x:c r="E93" s="65" t="str">
        <x:f>'Course Catalogue'!E93</x:f>
        <x:v>Advanced</x:v>
      </x:c>
      <x:c r="F93" s="65" t="n">
        <x:f>'Course Catalogue'!G93</x:f>
        <x:v>30</x:v>
      </x:c>
      <x:c r="G93" s="65" t="str">
        <x:f>'Course Catalogue'!F93</x:f>
        <x:v>Scenario lab / facilitated workshop</x:v>
      </x:c>
      <x:c r="H93" s="65" t="str">
        <x:f>'Course Catalogue'!H93</x:f>
        <x:v>Case study and applied action plan</x:v>
      </x:c>
      <x:c r="I93" s="65" t="str">
        <x:f>'Course Catalogue'!I93</x:f>
        <x:v>MapAble Academy Certificate of Completion (non-accredited professional development)</x:v>
      </x:c>
      <x:c r="J93" s="65" t="str">
        <x:f>'Course Catalogue'!J93</x:f>
        <x:v>24 months; confirm through provider risk assessment</x:v>
      </x:c>
      <x:c r="K93" s="65" t="str">
        <x:f>'Course Catalogue'!N93</x:f>
        <x:v>Wave 3 – Specialist</x:v>
      </x:c>
      <x:c r="L93" s="65" t="str">
        <x:f>'Course Catalogue'!Q93</x:f>
        <x:v>Support Coordination; Plan Implementation; Conflict of Interest; Service Agreements</x:v>
      </x:c>
      <x:c r="M93" s="65" t="str">
        <x:f>'Course Catalogue'!S93</x:f>
        <x:v>https://www.ndiscommission.gov.au/rules-and-standards/ndis-practice-standards</x:v>
      </x:c>
      <x:c r="N93" s="65" t="str">
        <x:f>'Course Catalogue'!T93</x:f>
        <x:v>Course mapping supports evidence and capability development; it does not guarantee provider compliance.</x:v>
      </x:c>
      <x:c r="O93" s="65" t="str">
        <x:f>'Course Catalogue'!O93</x:f>
        <x:v>Planned</x:v>
      </x:c>
    </x:row>
    <x:row r="94">
      <x:c r="A94" s="65" t="str">
        <x:f>'Course Catalogue'!A94</x:f>
        <x:v>PGQ-101</x:v>
      </x:c>
      <x:c r="B94" s="65" t="str">
        <x:f>LEFT('Course Catalogue'!A94,3)</x:f>
        <x:v>PGQ</x:v>
      </x:c>
      <x:c r="C94" s="65" t="str">
        <x:f>'Course Catalogue'!C94</x:f>
        <x:v>NDIS Governance for Boards and Executives</x:v>
      </x:c>
      <x:c r="D94" s="65" t="str">
        <x:f>'Course Catalogue'!D94</x:f>
        <x:v>Boards, executives, compliance leads, quality managers and provider owners</x:v>
      </x:c>
      <x:c r="E94" s="65" t="str">
        <x:f>'Course Catalogue'!E94</x:f>
        <x:v>Foundation</x:v>
      </x:c>
      <x:c r="F94" s="65" t="n">
        <x:f>'Course Catalogue'!G94</x:f>
        <x:v>20</x:v>
      </x:c>
      <x:c r="G94" s="65" t="str">
        <x:f>'Course Catalogue'!F94</x:f>
        <x:v>Microlearning + knowledge check</x:v>
      </x:c>
      <x:c r="H94" s="65" t="str">
        <x:f>'Course Catalogue'!H94</x:f>
        <x:v>Knowledge quiz and scenario check</x:v>
      </x:c>
      <x:c r="I94" s="65" t="str">
        <x:f>'Course Catalogue'!I94</x:f>
        <x:v>MapAble Academy Certificate of Completion (non-accredited professional development)</x:v>
      </x:c>
      <x:c r="J94" s="65" t="str">
        <x:f>'Course Catalogue'!J94</x:f>
        <x:v>24 months; confirm through provider risk assessment</x:v>
      </x:c>
      <x:c r="K94" s="65" t="str">
        <x:f>'Course Catalogue'!N94</x:f>
        <x:v>Wave 1 – Launch</x:v>
      </x:c>
      <x:c r="L94" s="65" t="str">
        <x:f>'Course Catalogue'!Q94</x:f>
        <x:v>Provider Governance; Practice Standards; Quality Management; Audit Evidence</x:v>
      </x:c>
      <x:c r="M94" s="65" t="str">
        <x:f>'Course Catalogue'!S94</x:f>
        <x:v>https://www.ndiscommission.gov.au/rules-and-standards/ndis-practice-standards</x:v>
      </x:c>
      <x:c r="N94" s="65" t="str">
        <x:f>'Course Catalogue'!T94</x:f>
        <x:v>Course mapping supports evidence and capability development; it does not guarantee provider compliance.</x:v>
      </x:c>
      <x:c r="O94" s="65" t="str">
        <x:f>'Course Catalogue'!O94</x:f>
        <x:v>Planned</x:v>
      </x:c>
    </x:row>
    <x:row r="95">
      <x:c r="A95" s="65" t="str">
        <x:f>'Course Catalogue'!A95</x:f>
        <x:v>PGQ-102</x:v>
      </x:c>
      <x:c r="B95" s="65" t="str">
        <x:f>LEFT('Course Catalogue'!A95,3)</x:f>
        <x:v>PGQ</x:v>
      </x:c>
      <x:c r="C95" s="65" t="str">
        <x:f>'Course Catalogue'!C95</x:f>
        <x:v>Understanding the NDIS Practice Standards and Quality Indicators</x:v>
      </x:c>
      <x:c r="D95" s="65" t="str">
        <x:f>'Course Catalogue'!D95</x:f>
        <x:v>Boards, executives, compliance leads, quality managers and provider owners</x:v>
      </x:c>
      <x:c r="E95" s="65" t="str">
        <x:f>'Course Catalogue'!E95</x:f>
        <x:v>Foundation</x:v>
      </x:c>
      <x:c r="F95" s="65" t="n">
        <x:f>'Course Catalogue'!G95</x:f>
        <x:v>30</x:v>
      </x:c>
      <x:c r="G95" s="65" t="str">
        <x:f>'Course Catalogue'!F95</x:f>
        <x:v>Self-paced eLearning</x:v>
      </x:c>
      <x:c r="H95" s="65" t="str">
        <x:f>'Course Catalogue'!H95</x:f>
        <x:v>Knowledge quiz and scenario check</x:v>
      </x:c>
      <x:c r="I95" s="65" t="str">
        <x:f>'Course Catalogue'!I95</x:f>
        <x:v>MapAble Academy Certificate of Completion (non-accredited professional development)</x:v>
      </x:c>
      <x:c r="J95" s="65" t="str">
        <x:f>'Course Catalogue'!J95</x:f>
        <x:v>24 months; confirm through provider risk assessment</x:v>
      </x:c>
      <x:c r="K95" s="65" t="str">
        <x:f>'Course Catalogue'!N95</x:f>
        <x:v>Wave 1 – Launch</x:v>
      </x:c>
      <x:c r="L95" s="65" t="str">
        <x:f>'Course Catalogue'!Q95</x:f>
        <x:v>Provider Governance; Practice Standards; Quality Management; Audit Evidence</x:v>
      </x:c>
      <x:c r="M95" s="65" t="str">
        <x:f>'Course Catalogue'!S95</x:f>
        <x:v>https://www.ndiscommission.gov.au/rules-and-standards/ndis-practice-standards</x:v>
      </x:c>
      <x:c r="N95" s="65" t="str">
        <x:f>'Course Catalogue'!T95</x:f>
        <x:v>Course mapping supports evidence and capability development; it does not guarantee provider compliance.</x:v>
      </x:c>
      <x:c r="O95" s="65" t="str">
        <x:f>'Course Catalogue'!O95</x:f>
        <x:v>Planned</x:v>
      </x:c>
    </x:row>
    <x:row r="96">
      <x:c r="A96" s="65" t="str">
        <x:f>'Course Catalogue'!A96</x:f>
        <x:v>PGQ-103</x:v>
      </x:c>
      <x:c r="B96" s="65" t="str">
        <x:f>LEFT('Course Catalogue'!A96,3)</x:f>
        <x:v>PGQ</x:v>
      </x:c>
      <x:c r="C96" s="65" t="str">
        <x:f>'Course Catalogue'!C96</x:f>
        <x:v>Building a Participant-Led Quality Management System</x:v>
      </x:c>
      <x:c r="D96" s="65" t="str">
        <x:f>'Course Catalogue'!D96</x:f>
        <x:v>Boards, executives, compliance leads, quality managers and provider owners</x:v>
      </x:c>
      <x:c r="E96" s="65" t="str">
        <x:f>'Course Catalogue'!E96</x:f>
        <x:v>Foundation</x:v>
      </x:c>
      <x:c r="F96" s="65" t="n">
        <x:f>'Course Catalogue'!G96</x:f>
        <x:v>40</x:v>
      </x:c>
      <x:c r="G96" s="65" t="str">
        <x:f>'Course Catalogue'!F96</x:f>
        <x:v>Self-paced eLearning</x:v>
      </x:c>
      <x:c r="H96" s="65" t="str">
        <x:f>'Course Catalogue'!H96</x:f>
        <x:v>Knowledge quiz and scenario check</x:v>
      </x:c>
      <x:c r="I96" s="65" t="str">
        <x:f>'Course Catalogue'!I96</x:f>
        <x:v>MapAble Academy Certificate of Completion (non-accredited professional development)</x:v>
      </x:c>
      <x:c r="J96" s="65" t="str">
        <x:f>'Course Catalogue'!J96</x:f>
        <x:v>24 months; confirm through provider risk assessment</x:v>
      </x:c>
      <x:c r="K96" s="65" t="str">
        <x:f>'Course Catalogue'!N96</x:f>
        <x:v>Wave 2 – Expansion</x:v>
      </x:c>
      <x:c r="L96" s="65" t="str">
        <x:f>'Course Catalogue'!Q96</x:f>
        <x:v>Provider Governance; Practice Standards; Quality Management; Audit Evidence</x:v>
      </x:c>
      <x:c r="M96" s="65" t="str">
        <x:f>'Course Catalogue'!S96</x:f>
        <x:v>https://www.ndiscommission.gov.au/rules-and-standards/ndis-practice-standards</x:v>
      </x:c>
      <x:c r="N96" s="65" t="str">
        <x:f>'Course Catalogue'!T96</x:f>
        <x:v>Course mapping supports evidence and capability development; it does not guarantee provider compliance.</x:v>
      </x:c>
      <x:c r="O96" s="65" t="str">
        <x:f>'Course Catalogue'!O96</x:f>
        <x:v>Planned</x:v>
      </x:c>
    </x:row>
    <x:row r="97">
      <x:c r="A97" s="65" t="str">
        <x:f>'Course Catalogue'!A97</x:f>
        <x:v>PGQ-104</x:v>
      </x:c>
      <x:c r="B97" s="65" t="str">
        <x:f>LEFT('Course Catalogue'!A97,3)</x:f>
        <x:v>PGQ</x:v>
      </x:c>
      <x:c r="C97" s="65" t="str">
        <x:f>'Course Catalogue'!C97</x:f>
        <x:v>Enterprise Risk Management for Disability Providers</x:v>
      </x:c>
      <x:c r="D97" s="65" t="str">
        <x:f>'Course Catalogue'!D97</x:f>
        <x:v>Boards, executives, compliance leads, quality managers and provider owners</x:v>
      </x:c>
      <x:c r="E97" s="65" t="str">
        <x:f>'Course Catalogue'!E97</x:f>
        <x:v>Intermediate</x:v>
      </x:c>
      <x:c r="F97" s="65" t="n">
        <x:f>'Course Catalogue'!G97</x:f>
        <x:v>50</x:v>
      </x:c>
      <x:c r="G97" s="65" t="str">
        <x:f>'Course Catalogue'!F97</x:f>
        <x:v>Scenario-based eLearning</x:v>
      </x:c>
      <x:c r="H97" s="65" t="str">
        <x:f>'Course Catalogue'!H97</x:f>
        <x:v>Knowledge quiz and scenario check</x:v>
      </x:c>
      <x:c r="I97" s="65" t="str">
        <x:f>'Course Catalogue'!I97</x:f>
        <x:v>MapAble Academy Certificate of Completion (non-accredited professional development)</x:v>
      </x:c>
      <x:c r="J97" s="65" t="str">
        <x:f>'Course Catalogue'!J97</x:f>
        <x:v>24 months; confirm through provider risk assessment</x:v>
      </x:c>
      <x:c r="K97" s="65" t="str">
        <x:f>'Course Catalogue'!N97</x:f>
        <x:v>Wave 2 – Expansion</x:v>
      </x:c>
      <x:c r="L97" s="65" t="str">
        <x:f>'Course Catalogue'!Q97</x:f>
        <x:v>Provider Governance; Practice Standards; Quality Management; Audit Evidence</x:v>
      </x:c>
      <x:c r="M97" s="65" t="str">
        <x:f>'Course Catalogue'!S97</x:f>
        <x:v>https://www.ndiscommission.gov.au/rules-and-standards/ndis-practice-standards</x:v>
      </x:c>
      <x:c r="N97" s="65" t="str">
        <x:f>'Course Catalogue'!T97</x:f>
        <x:v>Course mapping supports evidence and capability development; it does not guarantee provider compliance.</x:v>
      </x:c>
      <x:c r="O97" s="65" t="str">
        <x:f>'Course Catalogue'!O97</x:f>
        <x:v>Planned</x:v>
      </x:c>
    </x:row>
    <x:row r="98">
      <x:c r="A98" s="65" t="str">
        <x:f>'Course Catalogue'!A98</x:f>
        <x:v>PGQ-105</x:v>
      </x:c>
      <x:c r="B98" s="65" t="str">
        <x:f>LEFT('Course Catalogue'!A98,3)</x:f>
        <x:v>PGQ</x:v>
      </x:c>
      <x:c r="C98" s="65" t="str">
        <x:f>'Course Catalogue'!C98</x:f>
        <x:v>Incident Management and Reportable Incidents</x:v>
      </x:c>
      <x:c r="D98" s="65" t="str">
        <x:f>'Course Catalogue'!D98</x:f>
        <x:v>Boards, executives, compliance leads, quality managers and provider owners</x:v>
      </x:c>
      <x:c r="E98" s="65" t="str">
        <x:f>'Course Catalogue'!E98</x:f>
        <x:v>Intermediate</x:v>
      </x:c>
      <x:c r="F98" s="65" t="n">
        <x:f>'Course Catalogue'!G98</x:f>
        <x:v>20</x:v>
      </x:c>
      <x:c r="G98" s="65" t="str">
        <x:f>'Course Catalogue'!F98</x:f>
        <x:v>Microlearning + knowledge check</x:v>
      </x:c>
      <x:c r="H98" s="65" t="str">
        <x:f>'Course Catalogue'!H98</x:f>
        <x:v>Knowledge quiz and scenario check</x:v>
      </x:c>
      <x:c r="I98" s="65" t="str">
        <x:f>'Course Catalogue'!I98</x:f>
        <x:v>MapAble Academy Certificate of Completion (non-accredited professional development)</x:v>
      </x:c>
      <x:c r="J98" s="65" t="str">
        <x:f>'Course Catalogue'!J98</x:f>
        <x:v>24 months; confirm through provider risk assessment</x:v>
      </x:c>
      <x:c r="K98" s="65" t="str">
        <x:f>'Course Catalogue'!N98</x:f>
        <x:v>Wave 1 – Launch</x:v>
      </x:c>
      <x:c r="L98" s="65" t="str">
        <x:f>'Course Catalogue'!Q98</x:f>
        <x:v>Provider Governance; Practice Standards; Quality Management; Audit Evidence</x:v>
      </x:c>
      <x:c r="M98" s="65" t="str">
        <x:f>'Course Catalogue'!S98</x:f>
        <x:v>https://www.ndiscommission.gov.au/rules-and-standards/ndis-practice-standards</x:v>
      </x:c>
      <x:c r="N98" s="65" t="str">
        <x:f>'Course Catalogue'!T98</x:f>
        <x:v>Course mapping supports evidence and capability development; it does not guarantee provider compliance.</x:v>
      </x:c>
      <x:c r="O98" s="65" t="str">
        <x:f>'Course Catalogue'!O98</x:f>
        <x:v>Planned</x:v>
      </x:c>
    </x:row>
    <x:row r="99">
      <x:c r="A99" s="65" t="str">
        <x:f>'Course Catalogue'!A99</x:f>
        <x:v>PGQ-106</x:v>
      </x:c>
      <x:c r="B99" s="65" t="str">
        <x:f>LEFT('Course Catalogue'!A99,3)</x:f>
        <x:v>PGQ</x:v>
      </x:c>
      <x:c r="C99" s="65" t="str">
        <x:f>'Course Catalogue'!C99</x:f>
        <x:v>Complaints Management and Accessible Resolution</x:v>
      </x:c>
      <x:c r="D99" s="65" t="str">
        <x:f>'Course Catalogue'!D99</x:f>
        <x:v>Boards, executives, compliance leads, quality managers and provider owners</x:v>
      </x:c>
      <x:c r="E99" s="65" t="str">
        <x:f>'Course Catalogue'!E99</x:f>
        <x:v>Intermediate</x:v>
      </x:c>
      <x:c r="F99" s="65" t="n">
        <x:f>'Course Catalogue'!G99</x:f>
        <x:v>30</x:v>
      </x:c>
      <x:c r="G99" s="65" t="str">
        <x:f>'Course Catalogue'!F99</x:f>
        <x:v>Self-paced eLearning</x:v>
      </x:c>
      <x:c r="H99" s="65" t="str">
        <x:f>'Course Catalogue'!H99</x:f>
        <x:v>Case study and applied action plan</x:v>
      </x:c>
      <x:c r="I99" s="65" t="str">
        <x:f>'Course Catalogue'!I99</x:f>
        <x:v>MapAble Academy Certificate of Completion (non-accredited professional development)</x:v>
      </x:c>
      <x:c r="J99" s="65" t="str">
        <x:f>'Course Catalogue'!J99</x:f>
        <x:v>24 months; confirm through provider risk assessment</x:v>
      </x:c>
      <x:c r="K99" s="65" t="str">
        <x:f>'Course Catalogue'!N99</x:f>
        <x:v>Wave 1 – Launch</x:v>
      </x:c>
      <x:c r="L99" s="65" t="str">
        <x:f>'Course Catalogue'!Q99</x:f>
        <x:v>Provider Governance; Practice Standards; Quality Management; Audit Evidence</x:v>
      </x:c>
      <x:c r="M99" s="65" t="str">
        <x:f>'Course Catalogue'!S99</x:f>
        <x:v>https://www.ndiscommission.gov.au/rules-and-standards/ndis-practice-standards</x:v>
      </x:c>
      <x:c r="N99" s="65" t="str">
        <x:f>'Course Catalogue'!T99</x:f>
        <x:v>Course mapping supports evidence and capability development; it does not guarantee provider compliance.</x:v>
      </x:c>
      <x:c r="O99" s="65" t="str">
        <x:f>'Course Catalogue'!O99</x:f>
        <x:v>Planned</x:v>
      </x:c>
    </x:row>
    <x:row r="100">
      <x:c r="A100" s="65" t="str">
        <x:f>'Course Catalogue'!A100</x:f>
        <x:v>PGQ-107</x:v>
      </x:c>
      <x:c r="B100" s="65" t="str">
        <x:f>LEFT('Course Catalogue'!A100,3)</x:f>
        <x:v>PGQ</x:v>
      </x:c>
      <x:c r="C100" s="65" t="str">
        <x:f>'Course Catalogue'!C100</x:f>
        <x:v>Emergency and Disaster Management</x:v>
      </x:c>
      <x:c r="D100" s="65" t="str">
        <x:f>'Course Catalogue'!D100</x:f>
        <x:v>Boards, executives, compliance leads, quality managers and provider owners</x:v>
      </x:c>
      <x:c r="E100" s="65" t="str">
        <x:f>'Course Catalogue'!E100</x:f>
        <x:v>Intermediate</x:v>
      </x:c>
      <x:c r="F100" s="65" t="n">
        <x:f>'Course Catalogue'!G100</x:f>
        <x:v>40</x:v>
      </x:c>
      <x:c r="G100" s="65" t="str">
        <x:f>'Course Catalogue'!F100</x:f>
        <x:v>Scenario lab / facilitated workshop</x:v>
      </x:c>
      <x:c r="H100" s="65" t="str">
        <x:f>'Course Catalogue'!H100</x:f>
        <x:v>Case study and applied action plan</x:v>
      </x:c>
      <x:c r="I100" s="65" t="str">
        <x:f>'Course Catalogue'!I100</x:f>
        <x:v>MapAble Academy Certificate of Completion (non-accredited professional development)</x:v>
      </x:c>
      <x:c r="J100" s="65" t="str">
        <x:f>'Course Catalogue'!J100</x:f>
        <x:v>24 months; confirm through provider risk assessment</x:v>
      </x:c>
      <x:c r="K100" s="65" t="str">
        <x:f>'Course Catalogue'!N100</x:f>
        <x:v>Wave 2 – Expansion</x:v>
      </x:c>
      <x:c r="L100" s="65" t="str">
        <x:f>'Course Catalogue'!Q100</x:f>
        <x:v>Provider Governance; Practice Standards; Quality Management; Audit Evidence</x:v>
      </x:c>
      <x:c r="M100" s="65" t="str">
        <x:f>'Course Catalogue'!S100</x:f>
        <x:v>https://www.ndiscommission.gov.au/rules-and-standards/ndis-practice-standards</x:v>
      </x:c>
      <x:c r="N100" s="65" t="str">
        <x:f>'Course Catalogue'!T100</x:f>
        <x:v>Course mapping supports evidence and capability development; it does not guarantee provider compliance.</x:v>
      </x:c>
      <x:c r="O100" s="65" t="str">
        <x:f>'Course Catalogue'!O100</x:f>
        <x:v>Planned</x:v>
      </x:c>
    </x:row>
    <x:row r="101">
      <x:c r="A101" s="65" t="str">
        <x:f>'Course Catalogue'!A101</x:f>
        <x:v>PGQ-108</x:v>
      </x:c>
      <x:c r="B101" s="65" t="str">
        <x:f>LEFT('Course Catalogue'!A101,3)</x:f>
        <x:v>PGQ</x:v>
      </x:c>
      <x:c r="C101" s="65" t="str">
        <x:f>'Course Catalogue'!C101</x:f>
        <x:v>Human Resources, Worker Files and Training Evidence</x:v>
      </x:c>
      <x:c r="D101" s="65" t="str">
        <x:f>'Course Catalogue'!D101</x:f>
        <x:v>Boards, executives, compliance leads, quality managers and provider owners</x:v>
      </x:c>
      <x:c r="E101" s="65" t="str">
        <x:f>'Course Catalogue'!E101</x:f>
        <x:v>Advanced</x:v>
      </x:c>
      <x:c r="F101" s="65" t="n">
        <x:f>'Course Catalogue'!G101</x:f>
        <x:v>50</x:v>
      </x:c>
      <x:c r="G101" s="65" t="str">
        <x:f>'Course Catalogue'!F101</x:f>
        <x:v>Scenario lab / facilitated workshop</x:v>
      </x:c>
      <x:c r="H101" s="65" t="str">
        <x:f>'Course Catalogue'!H101</x:f>
        <x:v>Case study and applied action plan</x:v>
      </x:c>
      <x:c r="I101" s="65" t="str">
        <x:f>'Course Catalogue'!I101</x:f>
        <x:v>MapAble Academy Certificate of Completion (non-accredited professional development)</x:v>
      </x:c>
      <x:c r="J101" s="65" t="str">
        <x:f>'Course Catalogue'!J101</x:f>
        <x:v>24 months; confirm through provider risk assessment</x:v>
      </x:c>
      <x:c r="K101" s="65" t="str">
        <x:f>'Course Catalogue'!N101</x:f>
        <x:v>Wave 2 – Expansion</x:v>
      </x:c>
      <x:c r="L101" s="65" t="str">
        <x:f>'Course Catalogue'!Q101</x:f>
        <x:v>Provider Governance; Practice Standards; Quality Management; Audit Evidence</x:v>
      </x:c>
      <x:c r="M101" s="65" t="str">
        <x:f>'Course Catalogue'!S101</x:f>
        <x:v>https://www.ndiscommission.gov.au/rules-and-standards/ndis-practice-standards</x:v>
      </x:c>
      <x:c r="N101" s="65" t="str">
        <x:f>'Course Catalogue'!T101</x:f>
        <x:v>Course mapping supports evidence and capability development; it does not guarantee provider compliance.</x:v>
      </x:c>
      <x:c r="O101" s="65" t="str">
        <x:f>'Course Catalogue'!O101</x:f>
        <x:v>Planned</x:v>
      </x:c>
    </x:row>
    <x:row r="102">
      <x:c r="A102" s="65" t="str">
        <x:f>'Course Catalogue'!A102</x:f>
        <x:v>PGQ-109</x:v>
      </x:c>
      <x:c r="B102" s="65" t="str">
        <x:f>LEFT('Course Catalogue'!A102,3)</x:f>
        <x:v>PGQ</x:v>
      </x:c>
      <x:c r="C102" s="65" t="str">
        <x:f>'Course Catalogue'!C102</x:f>
        <x:v>Audit Readiness, Evidence Mapping and Corrective Actions</x:v>
      </x:c>
      <x:c r="D102" s="65" t="str">
        <x:f>'Course Catalogue'!D102</x:f>
        <x:v>Boards, executives, compliance leads, quality managers and provider owners</x:v>
      </x:c>
      <x:c r="E102" s="65" t="str">
        <x:f>'Course Catalogue'!E102</x:f>
        <x:v>Advanced</x:v>
      </x:c>
      <x:c r="F102" s="65" t="n">
        <x:f>'Course Catalogue'!G102</x:f>
        <x:v>20</x:v>
      </x:c>
      <x:c r="G102" s="65" t="str">
        <x:f>'Course Catalogue'!F102</x:f>
        <x:v>Scenario lab / facilitated workshop</x:v>
      </x:c>
      <x:c r="H102" s="65" t="str">
        <x:f>'Course Catalogue'!H102</x:f>
        <x:v>Case study and applied action plan</x:v>
      </x:c>
      <x:c r="I102" s="65" t="str">
        <x:f>'Course Catalogue'!I102</x:f>
        <x:v>MapAble Academy Certificate of Completion (non-accredited professional development)</x:v>
      </x:c>
      <x:c r="J102" s="65" t="str">
        <x:f>'Course Catalogue'!J102</x:f>
        <x:v>24 months; confirm through provider risk assessment</x:v>
      </x:c>
      <x:c r="K102" s="65" t="str">
        <x:f>'Course Catalogue'!N102</x:f>
        <x:v>Wave 2 – Expansion</x:v>
      </x:c>
      <x:c r="L102" s="65" t="str">
        <x:f>'Course Catalogue'!Q102</x:f>
        <x:v>Provider Governance; Practice Standards; Quality Management; Audit Evidence</x:v>
      </x:c>
      <x:c r="M102" s="65" t="str">
        <x:f>'Course Catalogue'!S102</x:f>
        <x:v>https://www.ndiscommission.gov.au/rules-and-standards/ndis-practice-standards</x:v>
      </x:c>
      <x:c r="N102" s="65" t="str">
        <x:f>'Course Catalogue'!T102</x:f>
        <x:v>Course mapping supports evidence and capability development; it does not guarantee provider compliance.</x:v>
      </x:c>
      <x:c r="O102" s="65" t="str">
        <x:f>'Course Catalogue'!O102</x:f>
        <x:v>Planned</x:v>
      </x:c>
    </x:row>
    <x:row r="103">
      <x:c r="A103" s="65" t="str">
        <x:f>'Course Catalogue'!A103</x:f>
        <x:v>PGQ-110</x:v>
      </x:c>
      <x:c r="B103" s="65" t="str">
        <x:f>LEFT('Course Catalogue'!A103,3)</x:f>
        <x:v>PGQ</x:v>
      </x:c>
      <x:c r="C103" s="65" t="str">
        <x:f>'Course Catalogue'!C103</x:f>
        <x:v>Provider Registration, SIL and NDIS Digital Platform Obligations</x:v>
      </x:c>
      <x:c r="D103" s="65" t="str">
        <x:f>'Course Catalogue'!D103</x:f>
        <x:v>Boards, executives, compliance leads, quality managers and provider owners</x:v>
      </x:c>
      <x:c r="E103" s="65" t="str">
        <x:f>'Course Catalogue'!E103</x:f>
        <x:v>Advanced</x:v>
      </x:c>
      <x:c r="F103" s="65" t="n">
        <x:f>'Course Catalogue'!G103</x:f>
        <x:v>30</x:v>
      </x:c>
      <x:c r="G103" s="65" t="str">
        <x:f>'Course Catalogue'!F103</x:f>
        <x:v>Scenario lab / facilitated workshop</x:v>
      </x:c>
      <x:c r="H103" s="65" t="str">
        <x:f>'Course Catalogue'!H103</x:f>
        <x:v>Case study and applied action plan</x:v>
      </x:c>
      <x:c r="I103" s="65" t="str">
        <x:f>'Course Catalogue'!I103</x:f>
        <x:v>MapAble Academy Certificate of Completion (non-accredited professional development)</x:v>
      </x:c>
      <x:c r="J103" s="65" t="str">
        <x:f>'Course Catalogue'!J103</x:f>
        <x:v>24 months; confirm through provider risk assessment</x:v>
      </x:c>
      <x:c r="K103" s="65" t="str">
        <x:f>'Course Catalogue'!N103</x:f>
        <x:v>Wave 3 – Specialist</x:v>
      </x:c>
      <x:c r="L103" s="65" t="str">
        <x:f>'Course Catalogue'!Q103</x:f>
        <x:v>Provider Governance; Practice Standards; Quality Management; Audit Evidence</x:v>
      </x:c>
      <x:c r="M103" s="65" t="str">
        <x:f>'Course Catalogue'!S103</x:f>
        <x:v>https://www.ndiscommission.gov.au/rules-and-standards/ndis-practice-standards</x:v>
      </x:c>
      <x:c r="N103" s="65" t="str">
        <x:f>'Course Catalogue'!T103</x:f>
        <x:v>Course mapping supports evidence and capability development; it does not guarantee provider compliance.</x:v>
      </x:c>
      <x:c r="O103" s="65" t="str">
        <x:f>'Course Catalogue'!O103</x:f>
        <x:v>Planned</x:v>
      </x:c>
    </x:row>
    <x:row r="104">
      <x:c r="A104" s="65" t="str">
        <x:f>'Course Catalogue'!A104</x:f>
        <x:v>WLO-101</x:v>
      </x:c>
      <x:c r="B104" s="65" t="str">
        <x:f>LEFT('Course Catalogue'!A104,3)</x:f>
        <x:v>WLO</x:v>
      </x:c>
      <x:c r="C104" s="65" t="str">
        <x:f>'Course Catalogue'!C104</x:f>
        <x:v>Frontline Leadership in Disability Support</x:v>
      </x:c>
      <x:c r="D104" s="65" t="str">
        <x:f>'Course Catalogue'!D104</x:f>
        <x:v>Frontline leaders, rostering teams, HR staff, provider managers and owners</x:v>
      </x:c>
      <x:c r="E104" s="65" t="str">
        <x:f>'Course Catalogue'!E104</x:f>
        <x:v>Foundation</x:v>
      </x:c>
      <x:c r="F104" s="65" t="n">
        <x:f>'Course Catalogue'!G104</x:f>
        <x:v>20</x:v>
      </x:c>
      <x:c r="G104" s="65" t="str">
        <x:f>'Course Catalogue'!F104</x:f>
        <x:v>Microlearning + knowledge check</x:v>
      </x:c>
      <x:c r="H104" s="65" t="str">
        <x:f>'Course Catalogue'!H104</x:f>
        <x:v>Knowledge quiz and scenario check</x:v>
      </x:c>
      <x:c r="I104" s="65" t="str">
        <x:f>'Course Catalogue'!I104</x:f>
        <x:v>MapAble Academy Certificate of Completion (non-accredited professional development)</x:v>
      </x:c>
      <x:c r="J104" s="65" t="str">
        <x:f>'Course Catalogue'!J104</x:f>
        <x:v>24 months; confirm through provider risk assessment</x:v>
      </x:c>
      <x:c r="K104" s="65" t="str">
        <x:f>'Course Catalogue'!N104</x:f>
        <x:v>Wave 2 – Expansion</x:v>
      </x:c>
      <x:c r="L104" s="65" t="str">
        <x:f>'Course Catalogue'!Q104</x:f>
        <x:v>Human Resource Management; Workforce Capability; Continuity of Supports</x:v>
      </x:c>
      <x:c r="M104" s="65" t="str">
        <x:f>'Course Catalogue'!S104</x:f>
        <x:v>https://www.ndiscommission.gov.au/workforce/training-workers/guide-for-ndis-providers/training-your-workers</x:v>
      </x:c>
      <x:c r="N104" s="65" t="str">
        <x:f>'Course Catalogue'!T104</x:f>
        <x:v>Course mapping supports evidence and capability development; it does not guarantee provider compliance.</x:v>
      </x:c>
      <x:c r="O104" s="65" t="str">
        <x:f>'Course Catalogue'!O104</x:f>
        <x:v>Planned</x:v>
      </x:c>
    </x:row>
    <x:row r="105">
      <x:c r="A105" s="65" t="str">
        <x:f>'Course Catalogue'!A105</x:f>
        <x:v>WLO-102</x:v>
      </x:c>
      <x:c r="B105" s="65" t="str">
        <x:f>LEFT('Course Catalogue'!A105,3)</x:f>
        <x:v>WLO</x:v>
      </x:c>
      <x:c r="C105" s="65" t="str">
        <x:f>'Course Catalogue'!C105</x:f>
        <x:v>Supervision, Coaching and Practice Observation</x:v>
      </x:c>
      <x:c r="D105" s="65" t="str">
        <x:f>'Course Catalogue'!D105</x:f>
        <x:v>Frontline leaders, rostering teams, HR staff, provider managers and owners</x:v>
      </x:c>
      <x:c r="E105" s="65" t="str">
        <x:f>'Course Catalogue'!E105</x:f>
        <x:v>Foundation</x:v>
      </x:c>
      <x:c r="F105" s="65" t="n">
        <x:f>'Course Catalogue'!G105</x:f>
        <x:v>30</x:v>
      </x:c>
      <x:c r="G105" s="65" t="str">
        <x:f>'Course Catalogue'!F105</x:f>
        <x:v>Self-paced eLearning</x:v>
      </x:c>
      <x:c r="H105" s="65" t="str">
        <x:f>'Course Catalogue'!H105</x:f>
        <x:v>Knowledge quiz and scenario check</x:v>
      </x:c>
      <x:c r="I105" s="65" t="str">
        <x:f>'Course Catalogue'!I105</x:f>
        <x:v>MapAble Academy Certificate of Completion (non-accredited professional development)</x:v>
      </x:c>
      <x:c r="J105" s="65" t="str">
        <x:f>'Course Catalogue'!J105</x:f>
        <x:v>24 months; confirm through provider risk assessment</x:v>
      </x:c>
      <x:c r="K105" s="65" t="str">
        <x:f>'Course Catalogue'!N105</x:f>
        <x:v>Wave 2 – Expansion</x:v>
      </x:c>
      <x:c r="L105" s="65" t="str">
        <x:f>'Course Catalogue'!Q105</x:f>
        <x:v>Human Resource Management; Workforce Capability; Continuity of Supports</x:v>
      </x:c>
      <x:c r="M105" s="65" t="str">
        <x:f>'Course Catalogue'!S105</x:f>
        <x:v>https://www.ndiscommission.gov.au/workforce/training-workers/guide-for-ndis-providers/training-your-workers</x:v>
      </x:c>
      <x:c r="N105" s="65" t="str">
        <x:f>'Course Catalogue'!T105</x:f>
        <x:v>Course mapping supports evidence and capability development; it does not guarantee provider compliance.</x:v>
      </x:c>
      <x:c r="O105" s="65" t="str">
        <x:f>'Course Catalogue'!O105</x:f>
        <x:v>Planned</x:v>
      </x:c>
    </x:row>
    <x:row r="106">
      <x:c r="A106" s="65" t="str">
        <x:f>'Course Catalogue'!A106</x:f>
        <x:v>WLO-103</x:v>
      </x:c>
      <x:c r="B106" s="65" t="str">
        <x:f>LEFT('Course Catalogue'!A106,3)</x:f>
        <x:v>WLO</x:v>
      </x:c>
      <x:c r="C106" s="65" t="str">
        <x:f>'Course Catalogue'!C106</x:f>
        <x:v>Values-Based Recruitment and Accessible Selection</x:v>
      </x:c>
      <x:c r="D106" s="65" t="str">
        <x:f>'Course Catalogue'!D106</x:f>
        <x:v>Frontline leaders, rostering teams, HR staff, provider managers and owners</x:v>
      </x:c>
      <x:c r="E106" s="65" t="str">
        <x:f>'Course Catalogue'!E106</x:f>
        <x:v>Foundation</x:v>
      </x:c>
      <x:c r="F106" s="65" t="n">
        <x:f>'Course Catalogue'!G106</x:f>
        <x:v>40</x:v>
      </x:c>
      <x:c r="G106" s="65" t="str">
        <x:f>'Course Catalogue'!F106</x:f>
        <x:v>Self-paced eLearning</x:v>
      </x:c>
      <x:c r="H106" s="65" t="str">
        <x:f>'Course Catalogue'!H106</x:f>
        <x:v>Knowledge quiz and scenario check</x:v>
      </x:c>
      <x:c r="I106" s="65" t="str">
        <x:f>'Course Catalogue'!I106</x:f>
        <x:v>MapAble Academy Certificate of Completion (non-accredited professional development)</x:v>
      </x:c>
      <x:c r="J106" s="65" t="str">
        <x:f>'Course Catalogue'!J106</x:f>
        <x:v>24 months; confirm through provider risk assessment</x:v>
      </x:c>
      <x:c r="K106" s="65" t="str">
        <x:f>'Course Catalogue'!N106</x:f>
        <x:v>Wave 2 – Expansion</x:v>
      </x:c>
      <x:c r="L106" s="65" t="str">
        <x:f>'Course Catalogue'!Q106</x:f>
        <x:v>Human Resource Management; Workforce Capability; Continuity of Supports</x:v>
      </x:c>
      <x:c r="M106" s="65" t="str">
        <x:f>'Course Catalogue'!S106</x:f>
        <x:v>https://www.ndiscommission.gov.au/workforce/training-workers/guide-for-ndis-providers/training-your-workers</x:v>
      </x:c>
      <x:c r="N106" s="65" t="str">
        <x:f>'Course Catalogue'!T106</x:f>
        <x:v>Course mapping supports evidence and capability development; it does not guarantee provider compliance.</x:v>
      </x:c>
      <x:c r="O106" s="65" t="str">
        <x:f>'Course Catalogue'!O106</x:f>
        <x:v>Planned</x:v>
      </x:c>
    </x:row>
    <x:row r="107">
      <x:c r="A107" s="65" t="str">
        <x:f>'Course Catalogue'!A107</x:f>
        <x:v>WLO-104</x:v>
      </x:c>
      <x:c r="B107" s="65" t="str">
        <x:f>LEFT('Course Catalogue'!A107,3)</x:f>
        <x:v>WLO</x:v>
      </x:c>
      <x:c r="C107" s="65" t="str">
        <x:f>'Course Catalogue'!C107</x:f>
        <x:v>Worker Induction and Role-Based Learning Pathways</x:v>
      </x:c>
      <x:c r="D107" s="65" t="str">
        <x:f>'Course Catalogue'!D107</x:f>
        <x:v>Frontline leaders, rostering teams, HR staff, provider managers and owners</x:v>
      </x:c>
      <x:c r="E107" s="65" t="str">
        <x:f>'Course Catalogue'!E107</x:f>
        <x:v>Intermediate</x:v>
      </x:c>
      <x:c r="F107" s="65" t="n">
        <x:f>'Course Catalogue'!G107</x:f>
        <x:v>50</x:v>
      </x:c>
      <x:c r="G107" s="65" t="str">
        <x:f>'Course Catalogue'!F107</x:f>
        <x:v>Scenario-based eLearning</x:v>
      </x:c>
      <x:c r="H107" s="65" t="str">
        <x:f>'Course Catalogue'!H107</x:f>
        <x:v>Knowledge quiz and scenario check</x:v>
      </x:c>
      <x:c r="I107" s="65" t="str">
        <x:f>'Course Catalogue'!I107</x:f>
        <x:v>MapAble Academy Certificate of Completion (non-accredited professional development)</x:v>
      </x:c>
      <x:c r="J107" s="65" t="str">
        <x:f>'Course Catalogue'!J107</x:f>
        <x:v>24 months; confirm through provider risk assessment</x:v>
      </x:c>
      <x:c r="K107" s="65" t="str">
        <x:f>'Course Catalogue'!N107</x:f>
        <x:v>Wave 2 – Expansion</x:v>
      </x:c>
      <x:c r="L107" s="65" t="str">
        <x:f>'Course Catalogue'!Q107</x:f>
        <x:v>Human Resource Management; Workforce Capability; Continuity of Supports</x:v>
      </x:c>
      <x:c r="M107" s="65" t="str">
        <x:f>'Course Catalogue'!S107</x:f>
        <x:v>https://www.ndiscommission.gov.au/workforce/training-workers/guide-for-ndis-providers/training-your-workers</x:v>
      </x:c>
      <x:c r="N107" s="65" t="str">
        <x:f>'Course Catalogue'!T107</x:f>
        <x:v>Course mapping supports evidence and capability development; it does not guarantee provider compliance.</x:v>
      </x:c>
      <x:c r="O107" s="65" t="str">
        <x:f>'Course Catalogue'!O107</x:f>
        <x:v>Planned</x:v>
      </x:c>
    </x:row>
    <x:row r="108">
      <x:c r="A108" s="65" t="str">
        <x:f>'Course Catalogue'!A108</x:f>
        <x:v>WLO-105</x:v>
      </x:c>
      <x:c r="B108" s="65" t="str">
        <x:f>LEFT('Course Catalogue'!A108,3)</x:f>
        <x:v>WLO</x:v>
      </x:c>
      <x:c r="C108" s="65" t="str">
        <x:f>'Course Catalogue'!C108</x:f>
        <x:v>Workforce Planning, Capability Gaps and Continuity</x:v>
      </x:c>
      <x:c r="D108" s="65" t="str">
        <x:f>'Course Catalogue'!D108</x:f>
        <x:v>Frontline leaders, rostering teams, HR staff, provider managers and owners</x:v>
      </x:c>
      <x:c r="E108" s="65" t="str">
        <x:f>'Course Catalogue'!E108</x:f>
        <x:v>Intermediate</x:v>
      </x:c>
      <x:c r="F108" s="65" t="n">
        <x:f>'Course Catalogue'!G108</x:f>
        <x:v>20</x:v>
      </x:c>
      <x:c r="G108" s="65" t="str">
        <x:f>'Course Catalogue'!F108</x:f>
        <x:v>Microlearning + knowledge check</x:v>
      </x:c>
      <x:c r="H108" s="65" t="str">
        <x:f>'Course Catalogue'!H108</x:f>
        <x:v>Knowledge quiz and scenario check</x:v>
      </x:c>
      <x:c r="I108" s="65" t="str">
        <x:f>'Course Catalogue'!I108</x:f>
        <x:v>MapAble Academy Certificate of Completion (non-accredited professional development)</x:v>
      </x:c>
      <x:c r="J108" s="65" t="str">
        <x:f>'Course Catalogue'!J108</x:f>
        <x:v>24 months; confirm through provider risk assessment</x:v>
      </x:c>
      <x:c r="K108" s="65" t="str">
        <x:f>'Course Catalogue'!N108</x:f>
        <x:v>Wave 2 – Expansion</x:v>
      </x:c>
      <x:c r="L108" s="65" t="str">
        <x:f>'Course Catalogue'!Q108</x:f>
        <x:v>Human Resource Management; Workforce Capability; Continuity of Supports</x:v>
      </x:c>
      <x:c r="M108" s="65" t="str">
        <x:f>'Course Catalogue'!S108</x:f>
        <x:v>https://www.ndiscommission.gov.au/workforce/training-workers/guide-for-ndis-providers/training-your-workers</x:v>
      </x:c>
      <x:c r="N108" s="65" t="str">
        <x:f>'Course Catalogue'!T108</x:f>
        <x:v>Course mapping supports evidence and capability development; it does not guarantee provider compliance.</x:v>
      </x:c>
      <x:c r="O108" s="65" t="str">
        <x:f>'Course Catalogue'!O108</x:f>
        <x:v>Planned</x:v>
      </x:c>
    </x:row>
    <x:row r="109">
      <x:c r="A109" s="65" t="str">
        <x:f>'Course Catalogue'!A109</x:f>
        <x:v>WLO-106</x:v>
      </x:c>
      <x:c r="B109" s="65" t="str">
        <x:f>LEFT('Course Catalogue'!A109,3)</x:f>
        <x:v>WLO</x:v>
      </x:c>
      <x:c r="C109" s="65" t="str">
        <x:f>'Course Catalogue'!C109</x:f>
        <x:v>Credential, Worker Screening and Equipment Expiry Monitoring</x:v>
      </x:c>
      <x:c r="D109" s="65" t="str">
        <x:f>'Course Catalogue'!D109</x:f>
        <x:v>Frontline leaders, rostering teams, HR staff, provider managers and owners</x:v>
      </x:c>
      <x:c r="E109" s="65" t="str">
        <x:f>'Course Catalogue'!E109</x:f>
        <x:v>Intermediate</x:v>
      </x:c>
      <x:c r="F109" s="65" t="n">
        <x:f>'Course Catalogue'!G109</x:f>
        <x:v>30</x:v>
      </x:c>
      <x:c r="G109" s="65" t="str">
        <x:f>'Course Catalogue'!F109</x:f>
        <x:v>Self-paced eLearning</x:v>
      </x:c>
      <x:c r="H109" s="65" t="str">
        <x:f>'Course Catalogue'!H109</x:f>
        <x:v>Case study and applied action plan</x:v>
      </x:c>
      <x:c r="I109" s="65" t="str">
        <x:f>'Course Catalogue'!I109</x:f>
        <x:v>MapAble Academy Certificate of Completion (non-accredited professional development)</x:v>
      </x:c>
      <x:c r="J109" s="65" t="str">
        <x:f>'Course Catalogue'!J109</x:f>
        <x:v>24 months; confirm through provider risk assessment</x:v>
      </x:c>
      <x:c r="K109" s="65" t="str">
        <x:f>'Course Catalogue'!N109</x:f>
        <x:v>Wave 2 – Expansion</x:v>
      </x:c>
      <x:c r="L109" s="65" t="str">
        <x:f>'Course Catalogue'!Q109</x:f>
        <x:v>Human Resource Management; Workforce Capability; Continuity of Supports</x:v>
      </x:c>
      <x:c r="M109" s="65" t="str">
        <x:f>'Course Catalogue'!S109</x:f>
        <x:v>https://www.ndiscommission.gov.au/workforce/training-workers/guide-for-ndis-providers/training-your-workers</x:v>
      </x:c>
      <x:c r="N109" s="65" t="str">
        <x:f>'Course Catalogue'!T109</x:f>
        <x:v>Course mapping supports evidence and capability development; it does not guarantee provider compliance.</x:v>
      </x:c>
      <x:c r="O109" s="65" t="str">
        <x:f>'Course Catalogue'!O109</x:f>
        <x:v>Planned</x:v>
      </x:c>
    </x:row>
    <x:row r="110">
      <x:c r="A110" s="65" t="str">
        <x:f>'Course Catalogue'!A110</x:f>
        <x:v>WLO-107</x:v>
      </x:c>
      <x:c r="B110" s="65" t="str">
        <x:f>LEFT('Course Catalogue'!A110,3)</x:f>
        <x:v>WLO</x:v>
      </x:c>
      <x:c r="C110" s="65" t="str">
        <x:f>'Course Catalogue'!C110</x:f>
        <x:v>SCHADS Award Awareness, Rostering and Escalation</x:v>
      </x:c>
      <x:c r="D110" s="65" t="str">
        <x:f>'Course Catalogue'!D110</x:f>
        <x:v>Frontline leaders, rostering teams, HR staff, provider managers and owners</x:v>
      </x:c>
      <x:c r="E110" s="65" t="str">
        <x:f>'Course Catalogue'!E110</x:f>
        <x:v>Intermediate</x:v>
      </x:c>
      <x:c r="F110" s="65" t="n">
        <x:f>'Course Catalogue'!G110</x:f>
        <x:v>40</x:v>
      </x:c>
      <x:c r="G110" s="65" t="str">
        <x:f>'Course Catalogue'!F110</x:f>
        <x:v>Scenario lab / facilitated workshop</x:v>
      </x:c>
      <x:c r="H110" s="65" t="str">
        <x:f>'Course Catalogue'!H110</x:f>
        <x:v>Case study and applied action plan</x:v>
      </x:c>
      <x:c r="I110" s="65" t="str">
        <x:f>'Course Catalogue'!I110</x:f>
        <x:v>MapAble Academy Certificate of Completion (non-accredited professional development)</x:v>
      </x:c>
      <x:c r="J110" s="65" t="str">
        <x:f>'Course Catalogue'!J110</x:f>
        <x:v>24 months; confirm through provider risk assessment</x:v>
      </x:c>
      <x:c r="K110" s="65" t="str">
        <x:f>'Course Catalogue'!N110</x:f>
        <x:v>Wave 2 – Expansion</x:v>
      </x:c>
      <x:c r="L110" s="65" t="str">
        <x:f>'Course Catalogue'!Q110</x:f>
        <x:v>Human Resource Management; Workforce Capability; Continuity of Supports</x:v>
      </x:c>
      <x:c r="M110" s="65" t="str">
        <x:f>'Course Catalogue'!S110</x:f>
        <x:v>https://www.ndiscommission.gov.au/workforce/training-workers/guide-for-ndis-providers/training-your-workers</x:v>
      </x:c>
      <x:c r="N110" s="65" t="str">
        <x:f>'Course Catalogue'!T110</x:f>
        <x:v>Course mapping supports evidence and capability development; it does not guarantee provider compliance.</x:v>
      </x:c>
      <x:c r="O110" s="65" t="str">
        <x:f>'Course Catalogue'!O110</x:f>
        <x:v>Planned</x:v>
      </x:c>
    </x:row>
    <x:row r="111">
      <x:c r="A111" s="65" t="str">
        <x:f>'Course Catalogue'!A111</x:f>
        <x:v>WLO-108</x:v>
      </x:c>
      <x:c r="B111" s="65" t="str">
        <x:f>LEFT('Course Catalogue'!A111,3)</x:f>
        <x:v>WLO</x:v>
      </x:c>
      <x:c r="C111" s="65" t="str">
        <x:f>'Course Catalogue'!C111</x:f>
        <x:v>Fatigue, Psychosocial Safety and Sustainable Work</x:v>
      </x:c>
      <x:c r="D111" s="65" t="str">
        <x:f>'Course Catalogue'!D111</x:f>
        <x:v>Frontline leaders, rostering teams, HR staff, provider managers and owners</x:v>
      </x:c>
      <x:c r="E111" s="65" t="str">
        <x:f>'Course Catalogue'!E111</x:f>
        <x:v>Advanced</x:v>
      </x:c>
      <x:c r="F111" s="65" t="n">
        <x:f>'Course Catalogue'!G111</x:f>
        <x:v>50</x:v>
      </x:c>
      <x:c r="G111" s="65" t="str">
        <x:f>'Course Catalogue'!F111</x:f>
        <x:v>Scenario lab / facilitated workshop</x:v>
      </x:c>
      <x:c r="H111" s="65" t="str">
        <x:f>'Course Catalogue'!H111</x:f>
        <x:v>Case study and applied action plan</x:v>
      </x:c>
      <x:c r="I111" s="65" t="str">
        <x:f>'Course Catalogue'!I111</x:f>
        <x:v>MapAble Academy Certificate of Completion (non-accredited professional development)</x:v>
      </x:c>
      <x:c r="J111" s="65" t="str">
        <x:f>'Course Catalogue'!J111</x:f>
        <x:v>24 months; confirm through provider risk assessment</x:v>
      </x:c>
      <x:c r="K111" s="65" t="str">
        <x:f>'Course Catalogue'!N111</x:f>
        <x:v>Wave 2 – Expansion</x:v>
      </x:c>
      <x:c r="L111" s="65" t="str">
        <x:f>'Course Catalogue'!Q111</x:f>
        <x:v>Human Resource Management; Workforce Capability; Continuity of Supports</x:v>
      </x:c>
      <x:c r="M111" s="65" t="str">
        <x:f>'Course Catalogue'!S111</x:f>
        <x:v>https://www.ndiscommission.gov.au/workforce/training-workers/guide-for-ndis-providers/training-your-workers</x:v>
      </x:c>
      <x:c r="N111" s="65" t="str">
        <x:f>'Course Catalogue'!T111</x:f>
        <x:v>Course mapping supports evidence and capability development; it does not guarantee provider compliance.</x:v>
      </x:c>
      <x:c r="O111" s="65" t="str">
        <x:f>'Course Catalogue'!O111</x:f>
        <x:v>Planned</x:v>
      </x:c>
    </x:row>
    <x:row r="112">
      <x:c r="A112" s="65" t="str">
        <x:f>'Course Catalogue'!A112</x:f>
        <x:v>WLO-109</x:v>
      </x:c>
      <x:c r="B112" s="65" t="str">
        <x:f>LEFT('Course Catalogue'!A112,3)</x:f>
        <x:v>WLO</x:v>
      </x:c>
      <x:c r="C112" s="65" t="str">
        <x:f>'Course Catalogue'!C112</x:f>
        <x:v>Contractors, Subcontractors and Platform Workforce Governance</x:v>
      </x:c>
      <x:c r="D112" s="65" t="str">
        <x:f>'Course Catalogue'!D112</x:f>
        <x:v>Frontline leaders, rostering teams, HR staff, provider managers and owners</x:v>
      </x:c>
      <x:c r="E112" s="65" t="str">
        <x:f>'Course Catalogue'!E112</x:f>
        <x:v>Advanced</x:v>
      </x:c>
      <x:c r="F112" s="65" t="n">
        <x:f>'Course Catalogue'!G112</x:f>
        <x:v>20</x:v>
      </x:c>
      <x:c r="G112" s="65" t="str">
        <x:f>'Course Catalogue'!F112</x:f>
        <x:v>Scenario lab / facilitated workshop</x:v>
      </x:c>
      <x:c r="H112" s="65" t="str">
        <x:f>'Course Catalogue'!H112</x:f>
        <x:v>Case study and applied action plan</x:v>
      </x:c>
      <x:c r="I112" s="65" t="str">
        <x:f>'Course Catalogue'!I112</x:f>
        <x:v>MapAble Academy Certificate of Completion (non-accredited professional development)</x:v>
      </x:c>
      <x:c r="J112" s="65" t="str">
        <x:f>'Course Catalogue'!J112</x:f>
        <x:v>24 months; confirm through provider risk assessment</x:v>
      </x:c>
      <x:c r="K112" s="65" t="str">
        <x:f>'Course Catalogue'!N112</x:f>
        <x:v>Wave 2 – Expansion</x:v>
      </x:c>
      <x:c r="L112" s="65" t="str">
        <x:f>'Course Catalogue'!Q112</x:f>
        <x:v>Human Resource Management; Workforce Capability; Continuity of Supports</x:v>
      </x:c>
      <x:c r="M112" s="65" t="str">
        <x:f>'Course Catalogue'!S112</x:f>
        <x:v>https://www.ndiscommission.gov.au/workforce/training-workers/guide-for-ndis-providers/training-your-workers</x:v>
      </x:c>
      <x:c r="N112" s="65" t="str">
        <x:f>'Course Catalogue'!T112</x:f>
        <x:v>Course mapping supports evidence and capability development; it does not guarantee provider compliance.</x:v>
      </x:c>
      <x:c r="O112" s="65" t="str">
        <x:f>'Course Catalogue'!O112</x:f>
        <x:v>Planned</x:v>
      </x:c>
    </x:row>
    <x:row r="113">
      <x:c r="A113" s="65" t="str">
        <x:f>'Course Catalogue'!A113</x:f>
        <x:v>WLO-110</x:v>
      </x:c>
      <x:c r="B113" s="65" t="str">
        <x:f>LEFT('Course Catalogue'!A113,3)</x:f>
        <x:v>WLO</x:v>
      </x:c>
      <x:c r="C113" s="65" t="str">
        <x:f>'Course Catalogue'!C113</x:f>
        <x:v>Ethical Marketing, Referrals and Provider Relationships</x:v>
      </x:c>
      <x:c r="D113" s="65" t="str">
        <x:f>'Course Catalogue'!D113</x:f>
        <x:v>Frontline leaders, rostering teams, HR staff, provider managers and owners</x:v>
      </x:c>
      <x:c r="E113" s="65" t="str">
        <x:f>'Course Catalogue'!E113</x:f>
        <x:v>Advanced</x:v>
      </x:c>
      <x:c r="F113" s="65" t="n">
        <x:f>'Course Catalogue'!G113</x:f>
        <x:v>30</x:v>
      </x:c>
      <x:c r="G113" s="65" t="str">
        <x:f>'Course Catalogue'!F113</x:f>
        <x:v>Scenario lab / facilitated workshop</x:v>
      </x:c>
      <x:c r="H113" s="65" t="str">
        <x:f>'Course Catalogue'!H113</x:f>
        <x:v>Case study and applied action plan</x:v>
      </x:c>
      <x:c r="I113" s="65" t="str">
        <x:f>'Course Catalogue'!I113</x:f>
        <x:v>MapAble Academy Certificate of Completion (non-accredited professional development)</x:v>
      </x:c>
      <x:c r="J113" s="65" t="str">
        <x:f>'Course Catalogue'!J113</x:f>
        <x:v>24 months; confirm through provider risk assessment</x:v>
      </x:c>
      <x:c r="K113" s="65" t="str">
        <x:f>'Course Catalogue'!N113</x:f>
        <x:v>Wave 2 – Expansion</x:v>
      </x:c>
      <x:c r="L113" s="65" t="str">
        <x:f>'Course Catalogue'!Q113</x:f>
        <x:v>Human Resource Management; Workforce Capability; Continuity of Supports</x:v>
      </x:c>
      <x:c r="M113" s="65" t="str">
        <x:f>'Course Catalogue'!S113</x:f>
        <x:v>https://www.ndiscommission.gov.au/workforce/training-workers/guide-for-ndis-providers/training-your-workers</x:v>
      </x:c>
      <x:c r="N113" s="65" t="str">
        <x:f>'Course Catalogue'!T113</x:f>
        <x:v>Course mapping supports evidence and capability development; it does not guarantee provider compliance.</x:v>
      </x:c>
      <x:c r="O113" s="65" t="str">
        <x:f>'Course Catalogue'!O113</x:f>
        <x:v>Planned</x:v>
      </x:c>
    </x:row>
    <x:row r="114">
      <x:c r="A114" s="65" t="str">
        <x:f>'Course Catalogue'!A114</x:f>
        <x:v>DDA-101</x:v>
      </x:c>
      <x:c r="B114" s="65" t="str">
        <x:f>LEFT('Course Catalogue'!A114,3)</x:f>
        <x:v>DDA</x:v>
      </x:c>
      <x:c r="C114" s="65" t="str">
        <x:f>'Course Catalogue'!C114</x:f>
        <x:v>Privacy, Data Minimisation and Need-to-Know Access</x:v>
      </x:c>
      <x:c r="D114" s="65" t="str">
        <x:f>'Course Catalogue'!D114</x:f>
        <x:v>All workers, provider leaders, digital teams and records administrators</x:v>
      </x:c>
      <x:c r="E114" s="65" t="str">
        <x:f>'Course Catalogue'!E114</x:f>
        <x:v>Foundation</x:v>
      </x:c>
      <x:c r="F114" s="65" t="n">
        <x:f>'Course Catalogue'!G114</x:f>
        <x:v>20</x:v>
      </x:c>
      <x:c r="G114" s="65" t="str">
        <x:f>'Course Catalogue'!F114</x:f>
        <x:v>Microlearning + knowledge check</x:v>
      </x:c>
      <x:c r="H114" s="65" t="str">
        <x:f>'Course Catalogue'!H114</x:f>
        <x:v>Knowledge quiz and scenario check</x:v>
      </x:c>
      <x:c r="I114" s="65" t="str">
        <x:f>'Course Catalogue'!I114</x:f>
        <x:v>MapAble Academy Certificate of Completion (non-accredited professional development)</x:v>
      </x:c>
      <x:c r="J114" s="65" t="str">
        <x:f>'Course Catalogue'!J114</x:f>
        <x:v>24 months; confirm through provider risk assessment</x:v>
      </x:c>
      <x:c r="K114" s="65" t="str">
        <x:f>'Course Catalogue'!N114</x:f>
        <x:v>Wave 2 – Expansion</x:v>
      </x:c>
      <x:c r="L114" s="65" t="str">
        <x:f>'Course Catalogue'!Q114</x:f>
        <x:v>Information Management; Privacy; Cybersecurity; Digital Accessibility; AI Governance</x:v>
      </x:c>
      <x:c r="M114" s="65" t="str">
        <x:f>'Course Catalogue'!S114</x:f>
        <x:v>https://www.w3.org/TR/WCAG22/</x:v>
      </x:c>
      <x:c r="N114" s="65" t="str">
        <x:f>'Course Catalogue'!T114</x:f>
        <x:v>Course mapping supports evidence and capability development; it does not guarantee provider compliance.</x:v>
      </x:c>
      <x:c r="O114" s="65" t="str">
        <x:f>'Course Catalogue'!O114</x:f>
        <x:v>Planned</x:v>
      </x:c>
    </x:row>
    <x:row r="115">
      <x:c r="A115" s="65" t="str">
        <x:f>'Course Catalogue'!A115</x:f>
        <x:v>DDA-102</x:v>
      </x:c>
      <x:c r="B115" s="65" t="str">
        <x:f>LEFT('Course Catalogue'!A115,3)</x:f>
        <x:v>DDA</x:v>
      </x:c>
      <x:c r="C115" s="65" t="str">
        <x:f>'Course Catalogue'!C115</x:f>
        <x:v>Cybersecurity Essentials for Disability Workers</x:v>
      </x:c>
      <x:c r="D115" s="65" t="str">
        <x:f>'Course Catalogue'!D115</x:f>
        <x:v>All workers, provider leaders, digital teams and records administrators</x:v>
      </x:c>
      <x:c r="E115" s="65" t="str">
        <x:f>'Course Catalogue'!E115</x:f>
        <x:v>Foundation</x:v>
      </x:c>
      <x:c r="F115" s="65" t="n">
        <x:f>'Course Catalogue'!G115</x:f>
        <x:v>30</x:v>
      </x:c>
      <x:c r="G115" s="65" t="str">
        <x:f>'Course Catalogue'!F115</x:f>
        <x:v>Self-paced eLearning</x:v>
      </x:c>
      <x:c r="H115" s="65" t="str">
        <x:f>'Course Catalogue'!H115</x:f>
        <x:v>Knowledge quiz and scenario check</x:v>
      </x:c>
      <x:c r="I115" s="65" t="str">
        <x:f>'Course Catalogue'!I115</x:f>
        <x:v>MapAble Academy Certificate of Completion (non-accredited professional development)</x:v>
      </x:c>
      <x:c r="J115" s="65" t="str">
        <x:f>'Course Catalogue'!J115</x:f>
        <x:v>24 months; confirm through provider risk assessment</x:v>
      </x:c>
      <x:c r="K115" s="65" t="str">
        <x:f>'Course Catalogue'!N115</x:f>
        <x:v>Wave 2 – Expansion</x:v>
      </x:c>
      <x:c r="L115" s="65" t="str">
        <x:f>'Course Catalogue'!Q115</x:f>
        <x:v>Information Management; Privacy; Cybersecurity; Digital Accessibility; AI Governance</x:v>
      </x:c>
      <x:c r="M115" s="65" t="str">
        <x:f>'Course Catalogue'!S115</x:f>
        <x:v>https://www.w3.org/TR/WCAG22/</x:v>
      </x:c>
      <x:c r="N115" s="65" t="str">
        <x:f>'Course Catalogue'!T115</x:f>
        <x:v>Course mapping supports evidence and capability development; it does not guarantee provider compliance.</x:v>
      </x:c>
      <x:c r="O115" s="65" t="str">
        <x:f>'Course Catalogue'!O115</x:f>
        <x:v>Planned</x:v>
      </x:c>
    </x:row>
    <x:row r="116">
      <x:c r="A116" s="65" t="str">
        <x:f>'Course Catalogue'!A116</x:f>
        <x:v>DDA-103</x:v>
      </x:c>
      <x:c r="B116" s="65" t="str">
        <x:f>LEFT('Course Catalogue'!A116,3)</x:f>
        <x:v>DDA</x:v>
      </x:c>
      <x:c r="C116" s="65" t="str">
        <x:f>'Course Catalogue'!C116</x:f>
        <x:v>Phishing, Scams and Social Engineering</x:v>
      </x:c>
      <x:c r="D116" s="65" t="str">
        <x:f>'Course Catalogue'!D116</x:f>
        <x:v>All workers, provider leaders, digital teams and records administrators</x:v>
      </x:c>
      <x:c r="E116" s="65" t="str">
        <x:f>'Course Catalogue'!E116</x:f>
        <x:v>Foundation</x:v>
      </x:c>
      <x:c r="F116" s="65" t="n">
        <x:f>'Course Catalogue'!G116</x:f>
        <x:v>40</x:v>
      </x:c>
      <x:c r="G116" s="65" t="str">
        <x:f>'Course Catalogue'!F116</x:f>
        <x:v>Self-paced eLearning</x:v>
      </x:c>
      <x:c r="H116" s="65" t="str">
        <x:f>'Course Catalogue'!H116</x:f>
        <x:v>Knowledge quiz and scenario check</x:v>
      </x:c>
      <x:c r="I116" s="65" t="str">
        <x:f>'Course Catalogue'!I116</x:f>
        <x:v>MapAble Academy Certificate of Completion (non-accredited professional development)</x:v>
      </x:c>
      <x:c r="J116" s="65" t="str">
        <x:f>'Course Catalogue'!J116</x:f>
        <x:v>24 months; confirm through provider risk assessment</x:v>
      </x:c>
      <x:c r="K116" s="65" t="str">
        <x:f>'Course Catalogue'!N116</x:f>
        <x:v>Wave 2 – Expansion</x:v>
      </x:c>
      <x:c r="L116" s="65" t="str">
        <x:f>'Course Catalogue'!Q116</x:f>
        <x:v>Information Management; Privacy; Cybersecurity; Digital Accessibility; AI Governance</x:v>
      </x:c>
      <x:c r="M116" s="65" t="str">
        <x:f>'Course Catalogue'!S116</x:f>
        <x:v>https://www.w3.org/TR/WCAG22/</x:v>
      </x:c>
      <x:c r="N116" s="65" t="str">
        <x:f>'Course Catalogue'!T116</x:f>
        <x:v>Course mapping supports evidence and capability development; it does not guarantee provider compliance.</x:v>
      </x:c>
      <x:c r="O116" s="65" t="str">
        <x:f>'Course Catalogue'!O116</x:f>
        <x:v>Planned</x:v>
      </x:c>
    </x:row>
    <x:row r="117">
      <x:c r="A117" s="65" t="str">
        <x:f>'Course Catalogue'!A117</x:f>
        <x:v>DDA-104</x:v>
      </x:c>
      <x:c r="B117" s="65" t="str">
        <x:f>LEFT('Course Catalogue'!A117,3)</x:f>
        <x:v>DDA</x:v>
      </x:c>
      <x:c r="C117" s="65" t="str">
        <x:f>'Course Catalogue'!C117</x:f>
        <x:v>Mobile Devices, BYOD and Secure Remote Work</x:v>
      </x:c>
      <x:c r="D117" s="65" t="str">
        <x:f>'Course Catalogue'!D117</x:f>
        <x:v>All workers, provider leaders, digital teams and records administrators</x:v>
      </x:c>
      <x:c r="E117" s="65" t="str">
        <x:f>'Course Catalogue'!E117</x:f>
        <x:v>Intermediate</x:v>
      </x:c>
      <x:c r="F117" s="65" t="n">
        <x:f>'Course Catalogue'!G117</x:f>
        <x:v>50</x:v>
      </x:c>
      <x:c r="G117" s="65" t="str">
        <x:f>'Course Catalogue'!F117</x:f>
        <x:v>Scenario-based eLearning</x:v>
      </x:c>
      <x:c r="H117" s="65" t="str">
        <x:f>'Course Catalogue'!H117</x:f>
        <x:v>Knowledge quiz and scenario check</x:v>
      </x:c>
      <x:c r="I117" s="65" t="str">
        <x:f>'Course Catalogue'!I117</x:f>
        <x:v>MapAble Academy Certificate of Completion (non-accredited professional development)</x:v>
      </x:c>
      <x:c r="J117" s="65" t="str">
        <x:f>'Course Catalogue'!J117</x:f>
        <x:v>24 months; confirm through provider risk assessment</x:v>
      </x:c>
      <x:c r="K117" s="65" t="str">
        <x:f>'Course Catalogue'!N117</x:f>
        <x:v>Wave 2 – Expansion</x:v>
      </x:c>
      <x:c r="L117" s="65" t="str">
        <x:f>'Course Catalogue'!Q117</x:f>
        <x:v>Information Management; Privacy; Cybersecurity; Digital Accessibility; AI Governance</x:v>
      </x:c>
      <x:c r="M117" s="65" t="str">
        <x:f>'Course Catalogue'!S117</x:f>
        <x:v>https://www.w3.org/TR/WCAG22/</x:v>
      </x:c>
      <x:c r="N117" s="65" t="str">
        <x:f>'Course Catalogue'!T117</x:f>
        <x:v>Course mapping supports evidence and capability development; it does not guarantee provider compliance.</x:v>
      </x:c>
      <x:c r="O117" s="65" t="str">
        <x:f>'Course Catalogue'!O117</x:f>
        <x:v>Planned</x:v>
      </x:c>
    </x:row>
    <x:row r="118">
      <x:c r="A118" s="65" t="str">
        <x:f>'Course Catalogue'!A118</x:f>
        <x:v>DDA-105</x:v>
      </x:c>
      <x:c r="B118" s="65" t="str">
        <x:f>LEFT('Course Catalogue'!A118,3)</x:f>
        <x:v>DDA</x:v>
      </x:c>
      <x:c r="C118" s="65" t="str">
        <x:f>'Course Catalogue'!C118</x:f>
        <x:v>Case Notes, Data Quality and Auditability</x:v>
      </x:c>
      <x:c r="D118" s="65" t="str">
        <x:f>'Course Catalogue'!D118</x:f>
        <x:v>All workers, provider leaders, digital teams and records administrators</x:v>
      </x:c>
      <x:c r="E118" s="65" t="str">
        <x:f>'Course Catalogue'!E118</x:f>
        <x:v>Intermediate</x:v>
      </x:c>
      <x:c r="F118" s="65" t="n">
        <x:f>'Course Catalogue'!G118</x:f>
        <x:v>20</x:v>
      </x:c>
      <x:c r="G118" s="65" t="str">
        <x:f>'Course Catalogue'!F118</x:f>
        <x:v>Microlearning + knowledge check</x:v>
      </x:c>
      <x:c r="H118" s="65" t="str">
        <x:f>'Course Catalogue'!H118</x:f>
        <x:v>Knowledge quiz and scenario check</x:v>
      </x:c>
      <x:c r="I118" s="65" t="str">
        <x:f>'Course Catalogue'!I118</x:f>
        <x:v>MapAble Academy Certificate of Completion (non-accredited professional development)</x:v>
      </x:c>
      <x:c r="J118" s="65" t="str">
        <x:f>'Course Catalogue'!J118</x:f>
        <x:v>24 months; confirm through provider risk assessment</x:v>
      </x:c>
      <x:c r="K118" s="65" t="str">
        <x:f>'Course Catalogue'!N118</x:f>
        <x:v>Wave 2 – Expansion</x:v>
      </x:c>
      <x:c r="L118" s="65" t="str">
        <x:f>'Course Catalogue'!Q118</x:f>
        <x:v>Information Management; Privacy; Cybersecurity; Digital Accessibility; AI Governance</x:v>
      </x:c>
      <x:c r="M118" s="65" t="str">
        <x:f>'Course Catalogue'!S118</x:f>
        <x:v>https://www.w3.org/TR/WCAG22/</x:v>
      </x:c>
      <x:c r="N118" s="65" t="str">
        <x:f>'Course Catalogue'!T118</x:f>
        <x:v>Course mapping supports evidence and capability development; it does not guarantee provider compliance.</x:v>
      </x:c>
      <x:c r="O118" s="65" t="str">
        <x:f>'Course Catalogue'!O118</x:f>
        <x:v>Planned</x:v>
      </x:c>
    </x:row>
    <x:row r="119">
      <x:c r="A119" s="65" t="str">
        <x:f>'Course Catalogue'!A119</x:f>
        <x:v>DDA-106</x:v>
      </x:c>
      <x:c r="B119" s="65" t="str">
        <x:f>LEFT('Course Catalogue'!A119,3)</x:f>
        <x:v>DDA</x:v>
      </x:c>
      <x:c r="C119" s="65" t="str">
        <x:f>'Course Catalogue'!C119</x:f>
        <x:v>Responsible AI in Disability Services</x:v>
      </x:c>
      <x:c r="D119" s="65" t="str">
        <x:f>'Course Catalogue'!D119</x:f>
        <x:v>All workers, provider leaders, digital teams and records administrators</x:v>
      </x:c>
      <x:c r="E119" s="65" t="str">
        <x:f>'Course Catalogue'!E119</x:f>
        <x:v>Intermediate</x:v>
      </x:c>
      <x:c r="F119" s="65" t="n">
        <x:f>'Course Catalogue'!G119</x:f>
        <x:v>30</x:v>
      </x:c>
      <x:c r="G119" s="65" t="str">
        <x:f>'Course Catalogue'!F119</x:f>
        <x:v>Self-paced eLearning</x:v>
      </x:c>
      <x:c r="H119" s="65" t="str">
        <x:f>'Course Catalogue'!H119</x:f>
        <x:v>Case study and applied action plan</x:v>
      </x:c>
      <x:c r="I119" s="65" t="str">
        <x:f>'Course Catalogue'!I119</x:f>
        <x:v>MapAble Academy Certificate of Completion (non-accredited professional development)</x:v>
      </x:c>
      <x:c r="J119" s="65" t="str">
        <x:f>'Course Catalogue'!J119</x:f>
        <x:v>24 months; confirm through provider risk assessment</x:v>
      </x:c>
      <x:c r="K119" s="65" t="str">
        <x:f>'Course Catalogue'!N119</x:f>
        <x:v>Wave 3 – Specialist</x:v>
      </x:c>
      <x:c r="L119" s="65" t="str">
        <x:f>'Course Catalogue'!Q119</x:f>
        <x:v>Information Management; Privacy; Cybersecurity; Digital Accessibility; AI Governance</x:v>
      </x:c>
      <x:c r="M119" s="65" t="str">
        <x:f>'Course Catalogue'!S119</x:f>
        <x:v>https://www.w3.org/TR/WCAG22/</x:v>
      </x:c>
      <x:c r="N119" s="65" t="str">
        <x:f>'Course Catalogue'!T119</x:f>
        <x:v>Course mapping supports evidence and capability development; it does not guarantee provider compliance.</x:v>
      </x:c>
      <x:c r="O119" s="65" t="str">
        <x:f>'Course Catalogue'!O119</x:f>
        <x:v>Planned</x:v>
      </x:c>
    </x:row>
    <x:row r="120">
      <x:c r="A120" s="65" t="str">
        <x:f>'Course Catalogue'!A120</x:f>
        <x:v>DDA-107</x:v>
      </x:c>
      <x:c r="B120" s="65" t="str">
        <x:f>LEFT('Course Catalogue'!A120,3)</x:f>
        <x:v>DDA</x:v>
      </x:c>
      <x:c r="C120" s="65" t="str">
        <x:f>'Course Catalogue'!C120</x:f>
        <x:v>Algorithmic Bias, Human Oversight and Contestability</x:v>
      </x:c>
      <x:c r="D120" s="65" t="str">
        <x:f>'Course Catalogue'!D120</x:f>
        <x:v>All workers, provider leaders, digital teams and records administrators</x:v>
      </x:c>
      <x:c r="E120" s="65" t="str">
        <x:f>'Course Catalogue'!E120</x:f>
        <x:v>Intermediate</x:v>
      </x:c>
      <x:c r="F120" s="65" t="n">
        <x:f>'Course Catalogue'!G120</x:f>
        <x:v>40</x:v>
      </x:c>
      <x:c r="G120" s="65" t="str">
        <x:f>'Course Catalogue'!F120</x:f>
        <x:v>Self-paced eLearning</x:v>
      </x:c>
      <x:c r="H120" s="65" t="str">
        <x:f>'Course Catalogue'!H120</x:f>
        <x:v>Case study and applied action plan</x:v>
      </x:c>
      <x:c r="I120" s="65" t="str">
        <x:f>'Course Catalogue'!I120</x:f>
        <x:v>MapAble Academy Certificate of Completion (non-accredited professional development)</x:v>
      </x:c>
      <x:c r="J120" s="65" t="str">
        <x:f>'Course Catalogue'!J120</x:f>
        <x:v>24 months; confirm through provider risk assessment</x:v>
      </x:c>
      <x:c r="K120" s="65" t="str">
        <x:f>'Course Catalogue'!N120</x:f>
        <x:v>Wave 3 – Specialist</x:v>
      </x:c>
      <x:c r="L120" s="65" t="str">
        <x:f>'Course Catalogue'!Q120</x:f>
        <x:v>Information Management; Privacy; Cybersecurity; Digital Accessibility; AI Governance</x:v>
      </x:c>
      <x:c r="M120" s="65" t="str">
        <x:f>'Course Catalogue'!S120</x:f>
        <x:v>https://www.w3.org/TR/WCAG22/</x:v>
      </x:c>
      <x:c r="N120" s="65" t="str">
        <x:f>'Course Catalogue'!T120</x:f>
        <x:v>Course mapping supports evidence and capability development; it does not guarantee provider compliance.</x:v>
      </x:c>
      <x:c r="O120" s="65" t="str">
        <x:f>'Course Catalogue'!O120</x:f>
        <x:v>Planned</x:v>
      </x:c>
    </x:row>
    <x:row r="121">
      <x:c r="A121" s="65" t="str">
        <x:f>'Course Catalogue'!A121</x:f>
        <x:v>DDA-108</x:v>
      </x:c>
      <x:c r="B121" s="65" t="str">
        <x:f>LEFT('Course Catalogue'!A121,3)</x:f>
        <x:v>DDA</x:v>
      </x:c>
      <x:c r="C121" s="65" t="str">
        <x:f>'Course Catalogue'!C121</x:f>
        <x:v>Digital Accessibility and WCAG 2.2 AA</x:v>
      </x:c>
      <x:c r="D121" s="65" t="str">
        <x:f>'Course Catalogue'!D121</x:f>
        <x:v>All workers, provider leaders, digital teams and records administrators</x:v>
      </x:c>
      <x:c r="E121" s="65" t="str">
        <x:f>'Course Catalogue'!E121</x:f>
        <x:v>Advanced</x:v>
      </x:c>
      <x:c r="F121" s="65" t="n">
        <x:f>'Course Catalogue'!G121</x:f>
        <x:v>50</x:v>
      </x:c>
      <x:c r="G121" s="65" t="str">
        <x:f>'Course Catalogue'!F121</x:f>
        <x:v>Scenario-based eLearning</x:v>
      </x:c>
      <x:c r="H121" s="65" t="str">
        <x:f>'Course Catalogue'!H121</x:f>
        <x:v>Case study and applied action plan</x:v>
      </x:c>
      <x:c r="I121" s="65" t="str">
        <x:f>'Course Catalogue'!I121</x:f>
        <x:v>MapAble Academy Certificate of Completion (non-accredited professional development)</x:v>
      </x:c>
      <x:c r="J121" s="65" t="str">
        <x:f>'Course Catalogue'!J121</x:f>
        <x:v>24 months; confirm through provider risk assessment</x:v>
      </x:c>
      <x:c r="K121" s="65" t="str">
        <x:f>'Course Catalogue'!N121</x:f>
        <x:v>Wave 3 – Specialist</x:v>
      </x:c>
      <x:c r="L121" s="65" t="str">
        <x:f>'Course Catalogue'!Q121</x:f>
        <x:v>Information Management; Privacy; Cybersecurity; Digital Accessibility; AI Governance</x:v>
      </x:c>
      <x:c r="M121" s="65" t="str">
        <x:f>'Course Catalogue'!S121</x:f>
        <x:v>https://www.w3.org/TR/WCAG22/</x:v>
      </x:c>
      <x:c r="N121" s="65" t="str">
        <x:f>'Course Catalogue'!T121</x:f>
        <x:v>Course mapping supports evidence and capability development; it does not guarantee provider compliance.</x:v>
      </x:c>
      <x:c r="O121" s="65" t="str">
        <x:f>'Course Catalogue'!O121</x:f>
        <x:v>Planned</x:v>
      </x:c>
    </x:row>
    <x:row r="122">
      <x:c r="A122" s="65" t="str">
        <x:f>'Course Catalogue'!A122</x:f>
        <x:v>DDA-109</x:v>
      </x:c>
      <x:c r="B122" s="65" t="str">
        <x:f>LEFT('Course Catalogue'!A122,3)</x:f>
        <x:v>DDA</x:v>
      </x:c>
      <x:c r="C122" s="65" t="str">
        <x:f>'Course Catalogue'!C122</x:f>
        <x:v>Data Breaches, Cyber Incidents and Escalation</x:v>
      </x:c>
      <x:c r="D122" s="65" t="str">
        <x:f>'Course Catalogue'!D122</x:f>
        <x:v>All workers, provider leaders, digital teams and records administrators</x:v>
      </x:c>
      <x:c r="E122" s="65" t="str">
        <x:f>'Course Catalogue'!E122</x:f>
        <x:v>Advanced</x:v>
      </x:c>
      <x:c r="F122" s="65" t="n">
        <x:f>'Course Catalogue'!G122</x:f>
        <x:v>20</x:v>
      </x:c>
      <x:c r="G122" s="65" t="str">
        <x:f>'Course Catalogue'!F122</x:f>
        <x:v>Microlearning + knowledge check</x:v>
      </x:c>
      <x:c r="H122" s="65" t="str">
        <x:f>'Course Catalogue'!H122</x:f>
        <x:v>Case study and applied action plan</x:v>
      </x:c>
      <x:c r="I122" s="65" t="str">
        <x:f>'Course Catalogue'!I122</x:f>
        <x:v>MapAble Academy Certificate of Completion (non-accredited professional development)</x:v>
      </x:c>
      <x:c r="J122" s="65" t="str">
        <x:f>'Course Catalogue'!J122</x:f>
        <x:v>24 months; confirm through provider risk assessment</x:v>
      </x:c>
      <x:c r="K122" s="65" t="str">
        <x:f>'Course Catalogue'!N122</x:f>
        <x:v>Wave 2 – Expansion</x:v>
      </x:c>
      <x:c r="L122" s="65" t="str">
        <x:f>'Course Catalogue'!Q122</x:f>
        <x:v>Information Management; Privacy; Cybersecurity; Digital Accessibility; AI Governance</x:v>
      </x:c>
      <x:c r="M122" s="65" t="str">
        <x:f>'Course Catalogue'!S122</x:f>
        <x:v>https://www.w3.org/TR/WCAG22/</x:v>
      </x:c>
      <x:c r="N122" s="65" t="str">
        <x:f>'Course Catalogue'!T122</x:f>
        <x:v>Course mapping supports evidence and capability development; it does not guarantee provider compliance.</x:v>
      </x:c>
      <x:c r="O122" s="65" t="str">
        <x:f>'Course Catalogue'!O122</x:f>
        <x:v>Planned</x:v>
      </x:c>
    </x:row>
    <x:row r="123">
      <x:c r="A123" s="65" t="str">
        <x:f>'Course Catalogue'!A123</x:f>
        <x:v>DDA-110</x:v>
      </x:c>
      <x:c r="B123" s="65" t="str">
        <x:f>LEFT('Course Catalogue'!A123,3)</x:f>
        <x:v>DDA</x:v>
      </x:c>
      <x:c r="C123" s="65" t="str">
        <x:f>'Course Catalogue'!C123</x:f>
        <x:v>Source-Cited AI Drafting for Service Documents</x:v>
      </x:c>
      <x:c r="D123" s="65" t="str">
        <x:f>'Course Catalogue'!D123</x:f>
        <x:v>All workers, provider leaders, digital teams and records administrators</x:v>
      </x:c>
      <x:c r="E123" s="65" t="str">
        <x:f>'Course Catalogue'!E123</x:f>
        <x:v>Advanced</x:v>
      </x:c>
      <x:c r="F123" s="65" t="n">
        <x:f>'Course Catalogue'!G123</x:f>
        <x:v>30</x:v>
      </x:c>
      <x:c r="G123" s="65" t="str">
        <x:f>'Course Catalogue'!F123</x:f>
        <x:v>Self-paced eLearning</x:v>
      </x:c>
      <x:c r="H123" s="65" t="str">
        <x:f>'Course Catalogue'!H123</x:f>
        <x:v>Case study and applied action plan</x:v>
      </x:c>
      <x:c r="I123" s="65" t="str">
        <x:f>'Course Catalogue'!I123</x:f>
        <x:v>MapAble Academy Certificate of Completion (non-accredited professional development)</x:v>
      </x:c>
      <x:c r="J123" s="65" t="str">
        <x:f>'Course Catalogue'!J123</x:f>
        <x:v>24 months; confirm through provider risk assessment</x:v>
      </x:c>
      <x:c r="K123" s="65" t="str">
        <x:f>'Course Catalogue'!N123</x:f>
        <x:v>Wave 3 – Specialist</x:v>
      </x:c>
      <x:c r="L123" s="65" t="str">
        <x:f>'Course Catalogue'!Q123</x:f>
        <x:v>Information Management; Privacy; Cybersecurity; Digital Accessibility; AI Governance</x:v>
      </x:c>
      <x:c r="M123" s="65" t="str">
        <x:f>'Course Catalogue'!S123</x:f>
        <x:v>https://www.w3.org/TR/WCAG22/</x:v>
      </x:c>
      <x:c r="N123" s="65" t="str">
        <x:f>'Course Catalogue'!T123</x:f>
        <x:v>Course mapping supports evidence and capability development; it does not guarantee provider compliance.</x:v>
      </x:c>
      <x:c r="O123" s="65" t="str">
        <x:f>'Course Catalogue'!O123</x:f>
        <x:v>Planned</x:v>
      </x:c>
    </x:row>
    <x:row r="124">
      <x:c r="A124" s="65" t="str">
        <x:f>'Course Catalogue'!A124</x:f>
        <x:v>LIS-101</x:v>
      </x:c>
      <x:c r="B124" s="65" t="str">
        <x:f>LEFT('Course Catalogue'!A124,3)</x:f>
        <x:v>LIS</x:v>
      </x:c>
      <x:c r="C124" s="65" t="str">
        <x:f>'Course Catalogue'!C124</x:f>
        <x:v>Supporting Children and Working in Partnership with Families</x:v>
      </x:c>
      <x:c r="D124" s="65" t="str">
        <x:f>'Course Catalogue'!D124</x:f>
        <x:v>Workers and providers supporting diverse people, families and communities</x:v>
      </x:c>
      <x:c r="E124" s="65" t="str">
        <x:f>'Course Catalogue'!E124</x:f>
        <x:v>Foundation</x:v>
      </x:c>
      <x:c r="F124" s="65" t="n">
        <x:f>'Course Catalogue'!G124</x:f>
        <x:v>20</x:v>
      </x:c>
      <x:c r="G124" s="65" t="str">
        <x:f>'Course Catalogue'!F124</x:f>
        <x:v>Microlearning + knowledge check</x:v>
      </x:c>
      <x:c r="H124" s="65" t="str">
        <x:f>'Course Catalogue'!H124</x:f>
        <x:v>Knowledge quiz and scenario check</x:v>
      </x:c>
      <x:c r="I124" s="65" t="str">
        <x:f>'Course Catalogue'!I124</x:f>
        <x:v>MapAble Academy Certificate of Completion (non-accredited professional development)</x:v>
      </x:c>
      <x:c r="J124" s="65" t="str">
        <x:f>'Course Catalogue'!J124</x:f>
        <x:v>24 months; confirm through provider risk assessment</x:v>
      </x:c>
      <x:c r="K124" s="65" t="str">
        <x:f>'Course Catalogue'!N124</x:f>
        <x:v>Wave 3 – Specialist</x:v>
      </x:c>
      <x:c r="L124" s="65" t="str">
        <x:f>'Course Catalogue'!Q124</x:f>
        <x:v>Individual Values and Beliefs; Cultural Safety; Responsive Support Provision</x:v>
      </x:c>
      <x:c r="M124" s="65" t="str">
        <x:f>'Course Catalogue'!S124</x:f>
        <x:v>https://www.ndiscommission.gov.au/workforce/training-workers/guide-for-ndis-providers/training-your-workers</x:v>
      </x:c>
      <x:c r="N124" s="65" t="str">
        <x:f>'Course Catalogue'!T124</x:f>
        <x:v>Course mapping supports evidence and capability development; it does not guarantee provider compliance.</x:v>
      </x:c>
      <x:c r="O124" s="65" t="str">
        <x:f>'Course Catalogue'!O124</x:f>
        <x:v>Planned</x:v>
      </x:c>
    </x:row>
    <x:row r="125">
      <x:c r="A125" s="65" t="str">
        <x:f>'Course Catalogue'!A125</x:f>
        <x:v>LIS-102</x:v>
      </x:c>
      <x:c r="B125" s="65" t="str">
        <x:f>LEFT('Course Catalogue'!A125,3)</x:f>
        <x:v>LIS</x:v>
      </x:c>
      <x:c r="C125" s="65" t="str">
        <x:f>'Course Catalogue'!C125</x:f>
        <x:v>Adolescence and Transition to Adult Life</x:v>
      </x:c>
      <x:c r="D125" s="65" t="str">
        <x:f>'Course Catalogue'!D125</x:f>
        <x:v>Workers and providers supporting diverse people, families and communities</x:v>
      </x:c>
      <x:c r="E125" s="65" t="str">
        <x:f>'Course Catalogue'!E125</x:f>
        <x:v>Foundation</x:v>
      </x:c>
      <x:c r="F125" s="65" t="n">
        <x:f>'Course Catalogue'!G125</x:f>
        <x:v>30</x:v>
      </x:c>
      <x:c r="G125" s="65" t="str">
        <x:f>'Course Catalogue'!F125</x:f>
        <x:v>Self-paced eLearning</x:v>
      </x:c>
      <x:c r="H125" s="65" t="str">
        <x:f>'Course Catalogue'!H125</x:f>
        <x:v>Knowledge quiz and scenario check</x:v>
      </x:c>
      <x:c r="I125" s="65" t="str">
        <x:f>'Course Catalogue'!I125</x:f>
        <x:v>MapAble Academy Certificate of Completion (non-accredited professional development)</x:v>
      </x:c>
      <x:c r="J125" s="65" t="str">
        <x:f>'Course Catalogue'!J125</x:f>
        <x:v>24 months; confirm through provider risk assessment</x:v>
      </x:c>
      <x:c r="K125" s="65" t="str">
        <x:f>'Course Catalogue'!N125</x:f>
        <x:v>Wave 3 – Specialist</x:v>
      </x:c>
      <x:c r="L125" s="65" t="str">
        <x:f>'Course Catalogue'!Q125</x:f>
        <x:v>Individual Values and Beliefs; Cultural Safety; Responsive Support Provision</x:v>
      </x:c>
      <x:c r="M125" s="65" t="str">
        <x:f>'Course Catalogue'!S125</x:f>
        <x:v>https://www.ndiscommission.gov.au/workforce/training-workers/guide-for-ndis-providers/training-your-workers</x:v>
      </x:c>
      <x:c r="N125" s="65" t="str">
        <x:f>'Course Catalogue'!T125</x:f>
        <x:v>Course mapping supports evidence and capability development; it does not guarantee provider compliance.</x:v>
      </x:c>
      <x:c r="O125" s="65" t="str">
        <x:f>'Course Catalogue'!O125</x:f>
        <x:v>Planned</x:v>
      </x:c>
    </x:row>
    <x:row r="126">
      <x:c r="A126" s="65" t="str">
        <x:f>'Course Catalogue'!A126</x:f>
        <x:v>LIS-103</x:v>
      </x:c>
      <x:c r="B126" s="65" t="str">
        <x:f>LEFT('Course Catalogue'!A126,3)</x:f>
        <x:v>LIS</x:v>
      </x:c>
      <x:c r="C126" s="65" t="str">
        <x:f>'Course Catalogue'!C126</x:f>
        <x:v>Ageing with Disability</x:v>
      </x:c>
      <x:c r="D126" s="65" t="str">
        <x:f>'Course Catalogue'!D126</x:f>
        <x:v>Workers and providers supporting diverse people, families and communities</x:v>
      </x:c>
      <x:c r="E126" s="65" t="str">
        <x:f>'Course Catalogue'!E126</x:f>
        <x:v>Foundation</x:v>
      </x:c>
      <x:c r="F126" s="65" t="n">
        <x:f>'Course Catalogue'!G126</x:f>
        <x:v>40</x:v>
      </x:c>
      <x:c r="G126" s="65" t="str">
        <x:f>'Course Catalogue'!F126</x:f>
        <x:v>Self-paced eLearning</x:v>
      </x:c>
      <x:c r="H126" s="65" t="str">
        <x:f>'Course Catalogue'!H126</x:f>
        <x:v>Knowledge quiz and scenario check</x:v>
      </x:c>
      <x:c r="I126" s="65" t="str">
        <x:f>'Course Catalogue'!I126</x:f>
        <x:v>MapAble Academy Certificate of Completion (non-accredited professional development)</x:v>
      </x:c>
      <x:c r="J126" s="65" t="str">
        <x:f>'Course Catalogue'!J126</x:f>
        <x:v>24 months; confirm through provider risk assessment</x:v>
      </x:c>
      <x:c r="K126" s="65" t="str">
        <x:f>'Course Catalogue'!N126</x:f>
        <x:v>Wave 3 – Specialist</x:v>
      </x:c>
      <x:c r="L126" s="65" t="str">
        <x:f>'Course Catalogue'!Q126</x:f>
        <x:v>Individual Values and Beliefs; Cultural Safety; Responsive Support Provision</x:v>
      </x:c>
      <x:c r="M126" s="65" t="str">
        <x:f>'Course Catalogue'!S126</x:f>
        <x:v>https://www.ndiscommission.gov.au/workforce/training-workers/guide-for-ndis-providers/training-your-workers</x:v>
      </x:c>
      <x:c r="N126" s="65" t="str">
        <x:f>'Course Catalogue'!T126</x:f>
        <x:v>Course mapping supports evidence and capability development; it does not guarantee provider compliance.</x:v>
      </x:c>
      <x:c r="O126" s="65" t="str">
        <x:f>'Course Catalogue'!O126</x:f>
        <x:v>Planned</x:v>
      </x:c>
    </x:row>
    <x:row r="127">
      <x:c r="A127" s="65" t="str">
        <x:f>'Course Catalogue'!A127</x:f>
        <x:v>LIS-104</x:v>
      </x:c>
      <x:c r="B127" s="65" t="str">
        <x:f>LEFT('Course Catalogue'!A127,3)</x:f>
        <x:v>LIS</x:v>
      </x:c>
      <x:c r="C127" s="65" t="str">
        <x:f>'Course Catalogue'!C127</x:f>
        <x:v>Autism-Affirming Support</x:v>
      </x:c>
      <x:c r="D127" s="65" t="str">
        <x:f>'Course Catalogue'!D127</x:f>
        <x:v>Workers and providers supporting diverse people, families and communities</x:v>
      </x:c>
      <x:c r="E127" s="65" t="str">
        <x:f>'Course Catalogue'!E127</x:f>
        <x:v>Intermediate</x:v>
      </x:c>
      <x:c r="F127" s="65" t="n">
        <x:f>'Course Catalogue'!G127</x:f>
        <x:v>50</x:v>
      </x:c>
      <x:c r="G127" s="65" t="str">
        <x:f>'Course Catalogue'!F127</x:f>
        <x:v>Scenario-based eLearning</x:v>
      </x:c>
      <x:c r="H127" s="65" t="str">
        <x:f>'Course Catalogue'!H127</x:f>
        <x:v>Knowledge quiz and scenario check</x:v>
      </x:c>
      <x:c r="I127" s="65" t="str">
        <x:f>'Course Catalogue'!I127</x:f>
        <x:v>MapAble Academy Certificate of Completion (non-accredited professional development)</x:v>
      </x:c>
      <x:c r="J127" s="65" t="str">
        <x:f>'Course Catalogue'!J127</x:f>
        <x:v>24 months; confirm through provider risk assessment</x:v>
      </x:c>
      <x:c r="K127" s="65" t="str">
        <x:f>'Course Catalogue'!N127</x:f>
        <x:v>Wave 3 – Specialist</x:v>
      </x:c>
      <x:c r="L127" s="65" t="str">
        <x:f>'Course Catalogue'!Q127</x:f>
        <x:v>Individual Values and Beliefs; Cultural Safety; Responsive Support Provision</x:v>
      </x:c>
      <x:c r="M127" s="65" t="str">
        <x:f>'Course Catalogue'!S127</x:f>
        <x:v>https://www.ndiscommission.gov.au/workforce/training-workers/guide-for-ndis-providers/training-your-workers</x:v>
      </x:c>
      <x:c r="N127" s="65" t="str">
        <x:f>'Course Catalogue'!T127</x:f>
        <x:v>Course mapping supports evidence and capability development; it does not guarantee provider compliance.</x:v>
      </x:c>
      <x:c r="O127" s="65" t="str">
        <x:f>'Course Catalogue'!O127</x:f>
        <x:v>Planned</x:v>
      </x:c>
    </x:row>
    <x:row r="128">
      <x:c r="A128" s="65" t="str">
        <x:f>'Course Catalogue'!A128</x:f>
        <x:v>LIS-105</x:v>
      </x:c>
      <x:c r="B128" s="65" t="str">
        <x:f>LEFT('Course Catalogue'!A128,3)</x:f>
        <x:v>LIS</x:v>
      </x:c>
      <x:c r="C128" s="65" t="str">
        <x:f>'Course Catalogue'!C128</x:f>
        <x:v>Supporting People with Intellectual Disability</x:v>
      </x:c>
      <x:c r="D128" s="65" t="str">
        <x:f>'Course Catalogue'!D128</x:f>
        <x:v>Workers and providers supporting diverse people, families and communities</x:v>
      </x:c>
      <x:c r="E128" s="65" t="str">
        <x:f>'Course Catalogue'!E128</x:f>
        <x:v>Intermediate</x:v>
      </x:c>
      <x:c r="F128" s="65" t="n">
        <x:f>'Course Catalogue'!G128</x:f>
        <x:v>20</x:v>
      </x:c>
      <x:c r="G128" s="65" t="str">
        <x:f>'Course Catalogue'!F128</x:f>
        <x:v>Microlearning + knowledge check</x:v>
      </x:c>
      <x:c r="H128" s="65" t="str">
        <x:f>'Course Catalogue'!H128</x:f>
        <x:v>Knowledge quiz and scenario check</x:v>
      </x:c>
      <x:c r="I128" s="65" t="str">
        <x:f>'Course Catalogue'!I128</x:f>
        <x:v>MapAble Academy Certificate of Completion (non-accredited professional development)</x:v>
      </x:c>
      <x:c r="J128" s="65" t="str">
        <x:f>'Course Catalogue'!J128</x:f>
        <x:v>24 months; confirm through provider risk assessment</x:v>
      </x:c>
      <x:c r="K128" s="65" t="str">
        <x:f>'Course Catalogue'!N128</x:f>
        <x:v>Wave 3 – Specialist</x:v>
      </x:c>
      <x:c r="L128" s="65" t="str">
        <x:f>'Course Catalogue'!Q128</x:f>
        <x:v>Individual Values and Beliefs; Cultural Safety; Responsive Support Provision</x:v>
      </x:c>
      <x:c r="M128" s="65" t="str">
        <x:f>'Course Catalogue'!S128</x:f>
        <x:v>https://www.ndiscommission.gov.au/workforce/training-workers/guide-for-ndis-providers/training-your-workers</x:v>
      </x:c>
      <x:c r="N128" s="65" t="str">
        <x:f>'Course Catalogue'!T128</x:f>
        <x:v>Course mapping supports evidence and capability development; it does not guarantee provider compliance.</x:v>
      </x:c>
      <x:c r="O128" s="65" t="str">
        <x:f>'Course Catalogue'!O128</x:f>
        <x:v>Planned</x:v>
      </x:c>
    </x:row>
    <x:row r="129">
      <x:c r="A129" s="65" t="str">
        <x:f>'Course Catalogue'!A129</x:f>
        <x:v>LIS-106</x:v>
      </x:c>
      <x:c r="B129" s="65" t="str">
        <x:f>LEFT('Course Catalogue'!A129,3)</x:f>
        <x:v>LIS</x:v>
      </x:c>
      <x:c r="C129" s="65" t="str">
        <x:f>'Course Catalogue'!C129</x:f>
        <x:v>Cerebral Palsy, Physical Disability and Movement Difference</x:v>
      </x:c>
      <x:c r="D129" s="65" t="str">
        <x:f>'Course Catalogue'!D129</x:f>
        <x:v>Workers and providers supporting diverse people, families and communities</x:v>
      </x:c>
      <x:c r="E129" s="65" t="str">
        <x:f>'Course Catalogue'!E129</x:f>
        <x:v>Intermediate</x:v>
      </x:c>
      <x:c r="F129" s="65" t="n">
        <x:f>'Course Catalogue'!G129</x:f>
        <x:v>30</x:v>
      </x:c>
      <x:c r="G129" s="65" t="str">
        <x:f>'Course Catalogue'!F129</x:f>
        <x:v>Self-paced eLearning</x:v>
      </x:c>
      <x:c r="H129" s="65" t="str">
        <x:f>'Course Catalogue'!H129</x:f>
        <x:v>Knowledge quiz and scenario check</x:v>
      </x:c>
      <x:c r="I129" s="65" t="str">
        <x:f>'Course Catalogue'!I129</x:f>
        <x:v>MapAble Academy Certificate of Completion (non-accredited professional development)</x:v>
      </x:c>
      <x:c r="J129" s="65" t="str">
        <x:f>'Course Catalogue'!J129</x:f>
        <x:v>24 months; confirm through provider risk assessment</x:v>
      </x:c>
      <x:c r="K129" s="65" t="str">
        <x:f>'Course Catalogue'!N129</x:f>
        <x:v>Wave 3 – Specialist</x:v>
      </x:c>
      <x:c r="L129" s="65" t="str">
        <x:f>'Course Catalogue'!Q129</x:f>
        <x:v>Individual Values and Beliefs; Cultural Safety; Responsive Support Provision</x:v>
      </x:c>
      <x:c r="M129" s="65" t="str">
        <x:f>'Course Catalogue'!S129</x:f>
        <x:v>https://www.ndiscommission.gov.au/workforce/training-workers/guide-for-ndis-providers/training-your-workers</x:v>
      </x:c>
      <x:c r="N129" s="65" t="str">
        <x:f>'Course Catalogue'!T129</x:f>
        <x:v>Course mapping supports evidence and capability development; it does not guarantee provider compliance.</x:v>
      </x:c>
      <x:c r="O129" s="65" t="str">
        <x:f>'Course Catalogue'!O129</x:f>
        <x:v>Planned</x:v>
      </x:c>
    </x:row>
    <x:row r="130">
      <x:c r="A130" s="65" t="str">
        <x:f>'Course Catalogue'!A130</x:f>
        <x:v>LIS-107</x:v>
      </x:c>
      <x:c r="B130" s="65" t="str">
        <x:f>LEFT('Course Catalogue'!A130,3)</x:f>
        <x:v>LIS</x:v>
      </x:c>
      <x:c r="C130" s="65" t="str">
        <x:f>'Course Catalogue'!C130</x:f>
        <x:v>Acquired Brain Injury and Cognitive Change</x:v>
      </x:c>
      <x:c r="D130" s="65" t="str">
        <x:f>'Course Catalogue'!D130</x:f>
        <x:v>Workers and providers supporting diverse people, families and communities</x:v>
      </x:c>
      <x:c r="E130" s="65" t="str">
        <x:f>'Course Catalogue'!E130</x:f>
        <x:v>Intermediate</x:v>
      </x:c>
      <x:c r="F130" s="65" t="n">
        <x:f>'Course Catalogue'!G130</x:f>
        <x:v>40</x:v>
      </x:c>
      <x:c r="G130" s="65" t="str">
        <x:f>'Course Catalogue'!F130</x:f>
        <x:v>Self-paced eLearning</x:v>
      </x:c>
      <x:c r="H130" s="65" t="str">
        <x:f>'Course Catalogue'!H130</x:f>
        <x:v>Knowledge quiz and scenario check</x:v>
      </x:c>
      <x:c r="I130" s="65" t="str">
        <x:f>'Course Catalogue'!I130</x:f>
        <x:v>MapAble Academy Certificate of Completion (non-accredited professional development)</x:v>
      </x:c>
      <x:c r="J130" s="65" t="str">
        <x:f>'Course Catalogue'!J130</x:f>
        <x:v>24 months; confirm through provider risk assessment</x:v>
      </x:c>
      <x:c r="K130" s="65" t="str">
        <x:f>'Course Catalogue'!N130</x:f>
        <x:v>Wave 3 – Specialist</x:v>
      </x:c>
      <x:c r="L130" s="65" t="str">
        <x:f>'Course Catalogue'!Q130</x:f>
        <x:v>Individual Values and Beliefs; Cultural Safety; Responsive Support Provision</x:v>
      </x:c>
      <x:c r="M130" s="65" t="str">
        <x:f>'Course Catalogue'!S130</x:f>
        <x:v>https://www.ndiscommission.gov.au/workforce/training-workers/guide-for-ndis-providers/training-your-workers</x:v>
      </x:c>
      <x:c r="N130" s="65" t="str">
        <x:f>'Course Catalogue'!T130</x:f>
        <x:v>Course mapping supports evidence and capability development; it does not guarantee provider compliance.</x:v>
      </x:c>
      <x:c r="O130" s="65" t="str">
        <x:f>'Course Catalogue'!O130</x:f>
        <x:v>Planned</x:v>
      </x:c>
    </x:row>
    <x:row r="131">
      <x:c r="A131" s="65" t="str">
        <x:f>'Course Catalogue'!A131</x:f>
        <x:v>LIS-108</x:v>
      </x:c>
      <x:c r="B131" s="65" t="str">
        <x:f>LEFT('Course Catalogue'!A131,3)</x:f>
        <x:v>LIS</x:v>
      </x:c>
      <x:c r="C131" s="65" t="str">
        <x:f>'Course Catalogue'!C131</x:f>
        <x:v>Dementia, Memory Change and Disability Support</x:v>
      </x:c>
      <x:c r="D131" s="65" t="str">
        <x:f>'Course Catalogue'!D131</x:f>
        <x:v>Workers and providers supporting diverse people, families and communities</x:v>
      </x:c>
      <x:c r="E131" s="65" t="str">
        <x:f>'Course Catalogue'!E131</x:f>
        <x:v>Advanced</x:v>
      </x:c>
      <x:c r="F131" s="65" t="n">
        <x:f>'Course Catalogue'!G131</x:f>
        <x:v>50</x:v>
      </x:c>
      <x:c r="G131" s="65" t="str">
        <x:f>'Course Catalogue'!F131</x:f>
        <x:v>Scenario-based eLearning</x:v>
      </x:c>
      <x:c r="H131" s="65" t="str">
        <x:f>'Course Catalogue'!H131</x:f>
        <x:v>Knowledge quiz and scenario check</x:v>
      </x:c>
      <x:c r="I131" s="65" t="str">
        <x:f>'Course Catalogue'!I131</x:f>
        <x:v>MapAble Academy Certificate of Completion (non-accredited professional development)</x:v>
      </x:c>
      <x:c r="J131" s="65" t="str">
        <x:f>'Course Catalogue'!J131</x:f>
        <x:v>24 months; confirm through provider risk assessment</x:v>
      </x:c>
      <x:c r="K131" s="65" t="str">
        <x:f>'Course Catalogue'!N131</x:f>
        <x:v>Wave 3 – Specialist</x:v>
      </x:c>
      <x:c r="L131" s="65" t="str">
        <x:f>'Course Catalogue'!Q131</x:f>
        <x:v>Individual Values and Beliefs; Cultural Safety; Responsive Support Provision</x:v>
      </x:c>
      <x:c r="M131" s="65" t="str">
        <x:f>'Course Catalogue'!S131</x:f>
        <x:v>https://www.ndiscommission.gov.au/workforce/training-workers/guide-for-ndis-providers/training-your-workers</x:v>
      </x:c>
      <x:c r="N131" s="65" t="str">
        <x:f>'Course Catalogue'!T131</x:f>
        <x:v>Course mapping supports evidence and capability development; it does not guarantee provider compliance.</x:v>
      </x:c>
      <x:c r="O131" s="65" t="str">
        <x:f>'Course Catalogue'!O131</x:f>
        <x:v>Planned</x:v>
      </x:c>
    </x:row>
    <x:row r="132">
      <x:c r="A132" s="65" t="str">
        <x:f>'Course Catalogue'!A132</x:f>
        <x:v>LIS-109</x:v>
      </x:c>
      <x:c r="B132" s="65" t="str">
        <x:f>LEFT('Course Catalogue'!A132,3)</x:f>
        <x:v>LIS</x:v>
      </x:c>
      <x:c r="C132" s="65" t="str">
        <x:f>'Course Catalogue'!C132</x:f>
        <x:v>LGBTIQA+ Inclusive Disability Support</x:v>
      </x:c>
      <x:c r="D132" s="65" t="str">
        <x:f>'Course Catalogue'!D132</x:f>
        <x:v>Workers and providers supporting diverse people, families and communities</x:v>
      </x:c>
      <x:c r="E132" s="65" t="str">
        <x:f>'Course Catalogue'!E132</x:f>
        <x:v>Advanced</x:v>
      </x:c>
      <x:c r="F132" s="65" t="n">
        <x:f>'Course Catalogue'!G132</x:f>
        <x:v>20</x:v>
      </x:c>
      <x:c r="G132" s="65" t="str">
        <x:f>'Course Catalogue'!F132</x:f>
        <x:v>Microlearning + knowledge check</x:v>
      </x:c>
      <x:c r="H132" s="65" t="str">
        <x:f>'Course Catalogue'!H132</x:f>
        <x:v>Knowledge quiz and scenario check</x:v>
      </x:c>
      <x:c r="I132" s="65" t="str">
        <x:f>'Course Catalogue'!I132</x:f>
        <x:v>MapAble Academy Certificate of Completion (non-accredited professional development)</x:v>
      </x:c>
      <x:c r="J132" s="65" t="str">
        <x:f>'Course Catalogue'!J132</x:f>
        <x:v>24 months; confirm through provider risk assessment</x:v>
      </x:c>
      <x:c r="K132" s="65" t="str">
        <x:f>'Course Catalogue'!N132</x:f>
        <x:v>Wave 3 – Specialist</x:v>
      </x:c>
      <x:c r="L132" s="65" t="str">
        <x:f>'Course Catalogue'!Q132</x:f>
        <x:v>Individual Values and Beliefs; Cultural Safety; Responsive Support Provision</x:v>
      </x:c>
      <x:c r="M132" s="65" t="str">
        <x:f>'Course Catalogue'!S132</x:f>
        <x:v>https://www.ndiscommission.gov.au/workforce/training-workers/guide-for-ndis-providers/training-your-workers</x:v>
      </x:c>
      <x:c r="N132" s="65" t="str">
        <x:f>'Course Catalogue'!T132</x:f>
        <x:v>Course mapping supports evidence and capability development; it does not guarantee provider compliance.</x:v>
      </x:c>
      <x:c r="O132" s="65" t="str">
        <x:f>'Course Catalogue'!O132</x:f>
        <x:v>Planned</x:v>
      </x:c>
    </x:row>
    <x:row r="133">
      <x:c r="A133" s="65" t="str">
        <x:f>'Course Catalogue'!A133</x:f>
        <x:v>LIS-110</x:v>
      </x:c>
      <x:c r="B133" s="65" t="str">
        <x:f>LEFT('Course Catalogue'!A133,3)</x:f>
        <x:v>LIS</x:v>
      </x:c>
      <x:c r="C133" s="65" t="str">
        <x:f>'Course Catalogue'!C133</x:f>
        <x:v>First Nations Cultural Safety and Disability Support</x:v>
      </x:c>
      <x:c r="D133" s="65" t="str">
        <x:f>'Course Catalogue'!D133</x:f>
        <x:v>Workers and providers supporting diverse people, families and communities</x:v>
      </x:c>
      <x:c r="E133" s="65" t="str">
        <x:f>'Course Catalogue'!E133</x:f>
        <x:v>Advanced</x:v>
      </x:c>
      <x:c r="F133" s="65" t="n">
        <x:f>'Course Catalogue'!G133</x:f>
        <x:v>30</x:v>
      </x:c>
      <x:c r="G133" s="65" t="str">
        <x:f>'Course Catalogue'!F133</x:f>
        <x:v>Self-paced eLearning</x:v>
      </x:c>
      <x:c r="H133" s="65" t="str">
        <x:f>'Course Catalogue'!H133</x:f>
        <x:v>Knowledge quiz and scenario check</x:v>
      </x:c>
      <x:c r="I133" s="65" t="str">
        <x:f>'Course Catalogue'!I133</x:f>
        <x:v>MapAble Academy Certificate of Completion (non-accredited professional development)</x:v>
      </x:c>
      <x:c r="J133" s="65" t="str">
        <x:f>'Course Catalogue'!J133</x:f>
        <x:v>24 months; confirm through provider risk assessment</x:v>
      </x:c>
      <x:c r="K133" s="65" t="str">
        <x:f>'Course Catalogue'!N133</x:f>
        <x:v>Wave 3 – Specialist</x:v>
      </x:c>
      <x:c r="L133" s="65" t="str">
        <x:f>'Course Catalogue'!Q133</x:f>
        <x:v>Individual Values and Beliefs; Cultural Safety; Responsive Support Provision</x:v>
      </x:c>
      <x:c r="M133" s="65" t="str">
        <x:f>'Course Catalogue'!S133</x:f>
        <x:v>https://www.ndiscommission.gov.au/workforce/training-workers/guide-for-ndis-providers/training-your-workers</x:v>
      </x:c>
      <x:c r="N133" s="65" t="str">
        <x:f>'Course Catalogue'!T133</x:f>
        <x:v>Course mapping supports evidence and capability development; it does not guarantee provider compliance.</x:v>
      </x:c>
      <x:c r="O133" s="65" t="str">
        <x:f>'Course Catalogue'!O133</x:f>
        <x:v>Planned</x:v>
      </x:c>
    </x:row>
    <x:row r="134">
      <x:c r="A134" s="65" t="str">
        <x:f>'Course Catalogue'!A134</x:f>
        <x:v>LIS-111</x:v>
      </x:c>
      <x:c r="B134" s="65" t="str">
        <x:f>LEFT('Course Catalogue'!A134,3)</x:f>
        <x:v>LIS</x:v>
      </x:c>
      <x:c r="C134" s="65" t="str">
        <x:f>'Course Catalogue'!C134</x:f>
        <x:v>Culturally and Linguistically Diverse and Refugee Communities</x:v>
      </x:c>
      <x:c r="D134" s="65" t="str">
        <x:f>'Course Catalogue'!D134</x:f>
        <x:v>Workers and providers supporting diverse people, families and communities</x:v>
      </x:c>
      <x:c r="E134" s="65" t="str">
        <x:f>'Course Catalogue'!E134</x:f>
        <x:v>Advanced</x:v>
      </x:c>
      <x:c r="F134" s="65" t="n">
        <x:f>'Course Catalogue'!G134</x:f>
        <x:v>40</x:v>
      </x:c>
      <x:c r="G134" s="65" t="str">
        <x:f>'Course Catalogue'!F134</x:f>
        <x:v>Self-paced eLearning</x:v>
      </x:c>
      <x:c r="H134" s="65" t="str">
        <x:f>'Course Catalogue'!H134</x:f>
        <x:v>Knowledge quiz and scenario check</x:v>
      </x:c>
      <x:c r="I134" s="65" t="str">
        <x:f>'Course Catalogue'!I134</x:f>
        <x:v>MapAble Academy Certificate of Completion (non-accredited professional development)</x:v>
      </x:c>
      <x:c r="J134" s="65" t="str">
        <x:f>'Course Catalogue'!J134</x:f>
        <x:v>24 months; confirm through provider risk assessment</x:v>
      </x:c>
      <x:c r="K134" s="65" t="str">
        <x:f>'Course Catalogue'!N134</x:f>
        <x:v>Wave 3 – Specialist</x:v>
      </x:c>
      <x:c r="L134" s="65" t="str">
        <x:f>'Course Catalogue'!Q134</x:f>
        <x:v>Individual Values and Beliefs; Cultural Safety; Responsive Support Provision</x:v>
      </x:c>
      <x:c r="M134" s="65" t="str">
        <x:f>'Course Catalogue'!S134</x:f>
        <x:v>https://www.ndiscommission.gov.au/workforce/training-workers/guide-for-ndis-providers/training-your-workers</x:v>
      </x:c>
      <x:c r="N134" s="65" t="str">
        <x:f>'Course Catalogue'!T134</x:f>
        <x:v>Course mapping supports evidence and capability development; it does not guarantee provider compliance.</x:v>
      </x:c>
      <x:c r="O134" s="65" t="str">
        <x:f>'Course Catalogue'!O134</x:f>
        <x:v>Planned</x:v>
      </x:c>
    </x:row>
    <x:row r="135">
      <x:c r="A135" s="65" t="str">
        <x:f>'Course Catalogue'!A135</x:f>
        <x:v>LIS-112</x:v>
      </x:c>
      <x:c r="B135" s="65" t="str">
        <x:f>LEFT('Course Catalogue'!A135,3)</x:f>
        <x:v>LIS</x:v>
      </x:c>
      <x:c r="C135" s="65" t="str">
        <x:f>'Course Catalogue'!C135</x:f>
        <x:v>Rural, Regional and Remote Disability Support</x:v>
      </x:c>
      <x:c r="D135" s="65" t="str">
        <x:f>'Course Catalogue'!D135</x:f>
        <x:v>Workers and providers supporting diverse people, families and communities</x:v>
      </x:c>
      <x:c r="E135" s="65" t="str">
        <x:f>'Course Catalogue'!E135</x:f>
        <x:v>Advanced</x:v>
      </x:c>
      <x:c r="F135" s="65" t="n">
        <x:f>'Course Catalogue'!G135</x:f>
        <x:v>50</x:v>
      </x:c>
      <x:c r="G135" s="65" t="str">
        <x:f>'Course Catalogue'!F135</x:f>
        <x:v>Scenario-based eLearning</x:v>
      </x:c>
      <x:c r="H135" s="65" t="str">
        <x:f>'Course Catalogue'!H135</x:f>
        <x:v>Knowledge quiz and scenario check</x:v>
      </x:c>
      <x:c r="I135" s="65" t="str">
        <x:f>'Course Catalogue'!I135</x:f>
        <x:v>MapAble Academy Certificate of Completion (non-accredited professional development)</x:v>
      </x:c>
      <x:c r="J135" s="65" t="str">
        <x:f>'Course Catalogue'!J135</x:f>
        <x:v>24 months; confirm through provider risk assessment</x:v>
      </x:c>
      <x:c r="K135" s="65" t="str">
        <x:f>'Course Catalogue'!N135</x:f>
        <x:v>Wave 3 – Specialist</x:v>
      </x:c>
      <x:c r="L135" s="65" t="str">
        <x:f>'Course Catalogue'!Q135</x:f>
        <x:v>Individual Values and Beliefs; Cultural Safety; Responsive Support Provision</x:v>
      </x:c>
      <x:c r="M135" s="65" t="str">
        <x:f>'Course Catalogue'!S135</x:f>
        <x:v>https://www.ndiscommission.gov.au/workforce/training-workers/guide-for-ndis-providers/training-your-workers</x:v>
      </x:c>
      <x:c r="N135" s="65" t="str">
        <x:f>'Course Catalogue'!T135</x:f>
        <x:v>Course mapping supports evidence and capability development; it does not guarantee provider compliance.</x:v>
      </x:c>
      <x:c r="O135" s="65" t="str">
        <x:f>'Course Catalogue'!O135</x:f>
        <x:v>Planned</x:v>
      </x:c>
    </x:row>
    <x:row r="136">
      <x:c r="A136" s="65" t="str">
        <x:f>'Course Catalogue'!A136</x:f>
        <x:v>MAA-101</x:v>
      </x:c>
      <x:c r="B136" s="65" t="str">
        <x:f>LEFT('Course Catalogue'!A136,3)</x:f>
        <x:v>MAA</x:v>
      </x:c>
      <x:c r="C136" s="65" t="str">
        <x:f>'Course Catalogue'!C136</x:f>
        <x:v>Accessibility Assessment Foundations</x:v>
      </x:c>
      <x:c r="D136" s="65" t="str">
        <x:f>'Course Catalogue'!D136</x:f>
        <x:v>Accessibility assessors, community contributors, venue operators and planners</x:v>
      </x:c>
      <x:c r="E136" s="65" t="str">
        <x:f>'Course Catalogue'!E136</x:f>
        <x:v>Foundation</x:v>
      </x:c>
      <x:c r="F136" s="65" t="n">
        <x:f>'Course Catalogue'!G136</x:f>
        <x:v>20</x:v>
      </x:c>
      <x:c r="G136" s="65" t="str">
        <x:f>'Course Catalogue'!F136</x:f>
        <x:v>Microlearning + knowledge check</x:v>
      </x:c>
      <x:c r="H136" s="65" t="str">
        <x:f>'Course Catalogue'!H136</x:f>
        <x:v>Knowledge quiz and scenario check</x:v>
      </x:c>
      <x:c r="I136" s="65" t="str">
        <x:f>'Course Catalogue'!I136</x:f>
        <x:v>MapAble Academy Certificate of Completion (non-accredited professional development)</x:v>
      </x:c>
      <x:c r="J136" s="65" t="str">
        <x:f>'Course Catalogue'!J136</x:f>
        <x:v>24 months; confirm through provider risk assessment</x:v>
      </x:c>
      <x:c r="K136" s="65" t="str">
        <x:f>'Course Catalogue'!N136</x:f>
        <x:v>Wave 3 – Specialist</x:v>
      </x:c>
      <x:c r="L136" s="65" t="str">
        <x:f>'Course Catalogue'!Q136</x:f>
        <x:v>Accessibility Evidence; Built Environment; Community Participation; Digital Access</x:v>
      </x:c>
      <x:c r="M136" s="65" t="str">
        <x:f>'Course Catalogue'!S136</x:f>
        <x:v>https://www.w3.org/TR/WCAG22/</x:v>
      </x:c>
      <x:c r="N136" s="65" t="str">
        <x:f>'Course Catalogue'!T136</x:f>
        <x:v>Course mapping supports evidence and capability development; it does not guarantee provider compliance.</x:v>
      </x:c>
      <x:c r="O136" s="65" t="str">
        <x:f>'Course Catalogue'!O136</x:f>
        <x:v>Planned</x:v>
      </x:c>
    </x:row>
    <x:row r="137">
      <x:c r="A137" s="65" t="str">
        <x:f>'Course Catalogue'!A137</x:f>
        <x:v>MAA-102</x:v>
      </x:c>
      <x:c r="B137" s="65" t="str">
        <x:f>LEFT('Course Catalogue'!A137,3)</x:f>
        <x:v>MAA</x:v>
      </x:c>
      <x:c r="C137" s="65" t="str">
        <x:f>'Course Catalogue'!C137</x:f>
        <x:v>Accessible Parking, Drop-Off and Arrival</x:v>
      </x:c>
      <x:c r="D137" s="65" t="str">
        <x:f>'Course Catalogue'!D137</x:f>
        <x:v>Accessibility assessors, community contributors, venue operators and planners</x:v>
      </x:c>
      <x:c r="E137" s="65" t="str">
        <x:f>'Course Catalogue'!E137</x:f>
        <x:v>Foundation</x:v>
      </x:c>
      <x:c r="F137" s="65" t="n">
        <x:f>'Course Catalogue'!G137</x:f>
        <x:v>30</x:v>
      </x:c>
      <x:c r="G137" s="65" t="str">
        <x:f>'Course Catalogue'!F137</x:f>
        <x:v>Self-paced eLearning</x:v>
      </x:c>
      <x:c r="H137" s="65" t="str">
        <x:f>'Course Catalogue'!H137</x:f>
        <x:v>Knowledge quiz and scenario check</x:v>
      </x:c>
      <x:c r="I137" s="65" t="str">
        <x:f>'Course Catalogue'!I137</x:f>
        <x:v>MapAble Academy Certificate of Completion (non-accredited professional development)</x:v>
      </x:c>
      <x:c r="J137" s="65" t="str">
        <x:f>'Course Catalogue'!J137</x:f>
        <x:v>24 months; confirm through provider risk assessment</x:v>
      </x:c>
      <x:c r="K137" s="65" t="str">
        <x:f>'Course Catalogue'!N137</x:f>
        <x:v>Wave 3 – Specialist</x:v>
      </x:c>
      <x:c r="L137" s="65" t="str">
        <x:f>'Course Catalogue'!Q137</x:f>
        <x:v>Accessibility Evidence; Built Environment; Community Participation; Digital Access</x:v>
      </x:c>
      <x:c r="M137" s="65" t="str">
        <x:f>'Course Catalogue'!S137</x:f>
        <x:v>https://www.w3.org/TR/WCAG22/</x:v>
      </x:c>
      <x:c r="N137" s="65" t="str">
        <x:f>'Course Catalogue'!T137</x:f>
        <x:v>Course mapping supports evidence and capability development; it does not guarantee provider compliance.</x:v>
      </x:c>
      <x:c r="O137" s="65" t="str">
        <x:f>'Course Catalogue'!O137</x:f>
        <x:v>Planned</x:v>
      </x:c>
    </x:row>
    <x:row r="138">
      <x:c r="A138" s="65" t="str">
        <x:f>'Course Catalogue'!A138</x:f>
        <x:v>MAA-103</x:v>
      </x:c>
      <x:c r="B138" s="65" t="str">
        <x:f>LEFT('Course Catalogue'!A138,3)</x:f>
        <x:v>MAA</x:v>
      </x:c>
      <x:c r="C138" s="65" t="str">
        <x:f>'Course Catalogue'!C138</x:f>
        <x:v>Paths of Travel, Entrances and Internal Circulation</x:v>
      </x:c>
      <x:c r="D138" s="65" t="str">
        <x:f>'Course Catalogue'!D138</x:f>
        <x:v>Accessibility assessors, community contributors, venue operators and planners</x:v>
      </x:c>
      <x:c r="E138" s="65" t="str">
        <x:f>'Course Catalogue'!E138</x:f>
        <x:v>Foundation</x:v>
      </x:c>
      <x:c r="F138" s="65" t="n">
        <x:f>'Course Catalogue'!G138</x:f>
        <x:v>40</x:v>
      </x:c>
      <x:c r="G138" s="65" t="str">
        <x:f>'Course Catalogue'!F138</x:f>
        <x:v>Self-paced eLearning</x:v>
      </x:c>
      <x:c r="H138" s="65" t="str">
        <x:f>'Course Catalogue'!H138</x:f>
        <x:v>Knowledge quiz and scenario check</x:v>
      </x:c>
      <x:c r="I138" s="65" t="str">
        <x:f>'Course Catalogue'!I138</x:f>
        <x:v>MapAble Academy Certificate of Completion (non-accredited professional development)</x:v>
      </x:c>
      <x:c r="J138" s="65" t="str">
        <x:f>'Course Catalogue'!J138</x:f>
        <x:v>24 months; confirm through provider risk assessment</x:v>
      </x:c>
      <x:c r="K138" s="65" t="str">
        <x:f>'Course Catalogue'!N138</x:f>
        <x:v>Wave 3 – Specialist</x:v>
      </x:c>
      <x:c r="L138" s="65" t="str">
        <x:f>'Course Catalogue'!Q138</x:f>
        <x:v>Accessibility Evidence; Built Environment; Community Participation; Digital Access</x:v>
      </x:c>
      <x:c r="M138" s="65" t="str">
        <x:f>'Course Catalogue'!S138</x:f>
        <x:v>https://www.w3.org/TR/WCAG22/</x:v>
      </x:c>
      <x:c r="N138" s="65" t="str">
        <x:f>'Course Catalogue'!T138</x:f>
        <x:v>Course mapping supports evidence and capability development; it does not guarantee provider compliance.</x:v>
      </x:c>
      <x:c r="O138" s="65" t="str">
        <x:f>'Course Catalogue'!O138</x:f>
        <x:v>Planned</x:v>
      </x:c>
    </x:row>
    <x:row r="139">
      <x:c r="A139" s="65" t="str">
        <x:f>'Course Catalogue'!A139</x:f>
        <x:v>MAA-104</x:v>
      </x:c>
      <x:c r="B139" s="65" t="str">
        <x:f>LEFT('Course Catalogue'!A139,3)</x:f>
        <x:v>MAA</x:v>
      </x:c>
      <x:c r="C139" s="65" t="str">
        <x:f>'Course Catalogue'!C139</x:f>
        <x:v>Accessible Toilets, Adult Change Facilities and Amenities</x:v>
      </x:c>
      <x:c r="D139" s="65" t="str">
        <x:f>'Course Catalogue'!D139</x:f>
        <x:v>Accessibility assessors, community contributors, venue operators and planners</x:v>
      </x:c>
      <x:c r="E139" s="65" t="str">
        <x:f>'Course Catalogue'!E139</x:f>
        <x:v>Intermediate</x:v>
      </x:c>
      <x:c r="F139" s="65" t="n">
        <x:f>'Course Catalogue'!G139</x:f>
        <x:v>50</x:v>
      </x:c>
      <x:c r="G139" s="65" t="str">
        <x:f>'Course Catalogue'!F139</x:f>
        <x:v>Scenario-based eLearning</x:v>
      </x:c>
      <x:c r="H139" s="65" t="str">
        <x:f>'Course Catalogue'!H139</x:f>
        <x:v>Knowledge quiz and scenario check</x:v>
      </x:c>
      <x:c r="I139" s="65" t="str">
        <x:f>'Course Catalogue'!I139</x:f>
        <x:v>MapAble Academy Certificate of Completion (non-accredited professional development)</x:v>
      </x:c>
      <x:c r="J139" s="65" t="str">
        <x:f>'Course Catalogue'!J139</x:f>
        <x:v>24 months; confirm through provider risk assessment</x:v>
      </x:c>
      <x:c r="K139" s="65" t="str">
        <x:f>'Course Catalogue'!N139</x:f>
        <x:v>Wave 3 – Specialist</x:v>
      </x:c>
      <x:c r="L139" s="65" t="str">
        <x:f>'Course Catalogue'!Q139</x:f>
        <x:v>Accessibility Evidence; Built Environment; Community Participation; Digital Access</x:v>
      </x:c>
      <x:c r="M139" s="65" t="str">
        <x:f>'Course Catalogue'!S139</x:f>
        <x:v>https://www.w3.org/TR/WCAG22/</x:v>
      </x:c>
      <x:c r="N139" s="65" t="str">
        <x:f>'Course Catalogue'!T139</x:f>
        <x:v>Course mapping supports evidence and capability development; it does not guarantee provider compliance.</x:v>
      </x:c>
      <x:c r="O139" s="65" t="str">
        <x:f>'Course Catalogue'!O139</x:f>
        <x:v>Planned</x:v>
      </x:c>
    </x:row>
    <x:row r="140">
      <x:c r="A140" s="65" t="str">
        <x:f>'Course Catalogue'!A140</x:f>
        <x:v>MAA-105</x:v>
      </x:c>
      <x:c r="B140" s="65" t="str">
        <x:f>LEFT('Course Catalogue'!A140,3)</x:f>
        <x:v>MAA</x:v>
      </x:c>
      <x:c r="C140" s="65" t="str">
        <x:f>'Course Catalogue'!C140</x:f>
        <x:v>Wayfinding, Lighting, Acoustics and Sensory Access</x:v>
      </x:c>
      <x:c r="D140" s="65" t="str">
        <x:f>'Course Catalogue'!D140</x:f>
        <x:v>Accessibility assessors, community contributors, venue operators and planners</x:v>
      </x:c>
      <x:c r="E140" s="65" t="str">
        <x:f>'Course Catalogue'!E140</x:f>
        <x:v>Intermediate</x:v>
      </x:c>
      <x:c r="F140" s="65" t="n">
        <x:f>'Course Catalogue'!G140</x:f>
        <x:v>20</x:v>
      </x:c>
      <x:c r="G140" s="65" t="str">
        <x:f>'Course Catalogue'!F140</x:f>
        <x:v>Microlearning + knowledge check</x:v>
      </x:c>
      <x:c r="H140" s="65" t="str">
        <x:f>'Course Catalogue'!H140</x:f>
        <x:v>Knowledge quiz and scenario check</x:v>
      </x:c>
      <x:c r="I140" s="65" t="str">
        <x:f>'Course Catalogue'!I140</x:f>
        <x:v>MapAble Academy Certificate of Completion (non-accredited professional development)</x:v>
      </x:c>
      <x:c r="J140" s="65" t="str">
        <x:f>'Course Catalogue'!J140</x:f>
        <x:v>24 months; confirm through provider risk assessment</x:v>
      </x:c>
      <x:c r="K140" s="65" t="str">
        <x:f>'Course Catalogue'!N140</x:f>
        <x:v>Wave 3 – Specialist</x:v>
      </x:c>
      <x:c r="L140" s="65" t="str">
        <x:f>'Course Catalogue'!Q140</x:f>
        <x:v>Accessibility Evidence; Built Environment; Community Participation; Digital Access</x:v>
      </x:c>
      <x:c r="M140" s="65" t="str">
        <x:f>'Course Catalogue'!S140</x:f>
        <x:v>https://www.w3.org/TR/WCAG22/</x:v>
      </x:c>
      <x:c r="N140" s="65" t="str">
        <x:f>'Course Catalogue'!T140</x:f>
        <x:v>Course mapping supports evidence and capability development; it does not guarantee provider compliance.</x:v>
      </x:c>
      <x:c r="O140" s="65" t="str">
        <x:f>'Course Catalogue'!O140</x:f>
        <x:v>Planned</x:v>
      </x:c>
    </x:row>
    <x:row r="141">
      <x:c r="A141" s="65" t="str">
        <x:f>'Course Catalogue'!A141</x:f>
        <x:v>MAA-106</x:v>
      </x:c>
      <x:c r="B141" s="65" t="str">
        <x:f>LEFT('Course Catalogue'!A141,3)</x:f>
        <x:v>MAA</x:v>
      </x:c>
      <x:c r="C141" s="65" t="str">
        <x:f>'Course Catalogue'!C141</x:f>
        <x:v>Accessible Hospitality, Retail and Customer Service</x:v>
      </x:c>
      <x:c r="D141" s="65" t="str">
        <x:f>'Course Catalogue'!D141</x:f>
        <x:v>Accessibility assessors, community contributors, venue operators and planners</x:v>
      </x:c>
      <x:c r="E141" s="65" t="str">
        <x:f>'Course Catalogue'!E141</x:f>
        <x:v>Intermediate</x:v>
      </x:c>
      <x:c r="F141" s="65" t="n">
        <x:f>'Course Catalogue'!G141</x:f>
        <x:v>30</x:v>
      </x:c>
      <x:c r="G141" s="65" t="str">
        <x:f>'Course Catalogue'!F141</x:f>
        <x:v>Self-paced eLearning</x:v>
      </x:c>
      <x:c r="H141" s="65" t="str">
        <x:f>'Course Catalogue'!H141</x:f>
        <x:v>Knowledge quiz and scenario check</x:v>
      </x:c>
      <x:c r="I141" s="65" t="str">
        <x:f>'Course Catalogue'!I141</x:f>
        <x:v>MapAble Academy Certificate of Completion (non-accredited professional development)</x:v>
      </x:c>
      <x:c r="J141" s="65" t="str">
        <x:f>'Course Catalogue'!J141</x:f>
        <x:v>24 months; confirm through provider risk assessment</x:v>
      </x:c>
      <x:c r="K141" s="65" t="str">
        <x:f>'Course Catalogue'!N141</x:f>
        <x:v>Wave 3 – Specialist</x:v>
      </x:c>
      <x:c r="L141" s="65" t="str">
        <x:f>'Course Catalogue'!Q141</x:f>
        <x:v>Accessibility Evidence; Built Environment; Community Participation; Digital Access</x:v>
      </x:c>
      <x:c r="M141" s="65" t="str">
        <x:f>'Course Catalogue'!S141</x:f>
        <x:v>https://www.w3.org/TR/WCAG22/</x:v>
      </x:c>
      <x:c r="N141" s="65" t="str">
        <x:f>'Course Catalogue'!T141</x:f>
        <x:v>Course mapping supports evidence and capability development; it does not guarantee provider compliance.</x:v>
      </x:c>
      <x:c r="O141" s="65" t="str">
        <x:f>'Course Catalogue'!O141</x:f>
        <x:v>Planned</x:v>
      </x:c>
    </x:row>
    <x:row r="142">
      <x:c r="A142" s="65" t="str">
        <x:f>'Course Catalogue'!A142</x:f>
        <x:v>MAA-107</x:v>
      </x:c>
      <x:c r="B142" s="65" t="str">
        <x:f>LEFT('Course Catalogue'!A142,3)</x:f>
        <x:v>MAA</x:v>
      </x:c>
      <x:c r="C142" s="65" t="str">
        <x:f>'Course Catalogue'!C142</x:f>
        <x:v>Inclusive Events and Temporary Venues</x:v>
      </x:c>
      <x:c r="D142" s="65" t="str">
        <x:f>'Course Catalogue'!D142</x:f>
        <x:v>Accessibility assessors, community contributors, venue operators and planners</x:v>
      </x:c>
      <x:c r="E142" s="65" t="str">
        <x:f>'Course Catalogue'!E142</x:f>
        <x:v>Intermediate</x:v>
      </x:c>
      <x:c r="F142" s="65" t="n">
        <x:f>'Course Catalogue'!G142</x:f>
        <x:v>40</x:v>
      </x:c>
      <x:c r="G142" s="65" t="str">
        <x:f>'Course Catalogue'!F142</x:f>
        <x:v>Self-paced eLearning</x:v>
      </x:c>
      <x:c r="H142" s="65" t="str">
        <x:f>'Course Catalogue'!H142</x:f>
        <x:v>Knowledge quiz and scenario check</x:v>
      </x:c>
      <x:c r="I142" s="65" t="str">
        <x:f>'Course Catalogue'!I142</x:f>
        <x:v>MapAble Academy Certificate of Completion (non-accredited professional development)</x:v>
      </x:c>
      <x:c r="J142" s="65" t="str">
        <x:f>'Course Catalogue'!J142</x:f>
        <x:v>24 months; confirm through provider risk assessment</x:v>
      </x:c>
      <x:c r="K142" s="65" t="str">
        <x:f>'Course Catalogue'!N142</x:f>
        <x:v>Wave 3 – Specialist</x:v>
      </x:c>
      <x:c r="L142" s="65" t="str">
        <x:f>'Course Catalogue'!Q142</x:f>
        <x:v>Accessibility Evidence; Built Environment; Community Participation; Digital Access</x:v>
      </x:c>
      <x:c r="M142" s="65" t="str">
        <x:f>'Course Catalogue'!S142</x:f>
        <x:v>https://www.w3.org/TR/WCAG22/</x:v>
      </x:c>
      <x:c r="N142" s="65" t="str">
        <x:f>'Course Catalogue'!T142</x:f>
        <x:v>Course mapping supports evidence and capability development; it does not guarantee provider compliance.</x:v>
      </x:c>
      <x:c r="O142" s="65" t="str">
        <x:f>'Course Catalogue'!O142</x:f>
        <x:v>Planned</x:v>
      </x:c>
    </x:row>
    <x:row r="143">
      <x:c r="A143" s="65" t="str">
        <x:f>'Course Catalogue'!A143</x:f>
        <x:v>MAA-108</x:v>
      </x:c>
      <x:c r="B143" s="65" t="str">
        <x:f>LEFT('Course Catalogue'!A143,3)</x:f>
        <x:v>MAA</x:v>
      </x:c>
      <x:c r="C143" s="65" t="str">
        <x:f>'Course Catalogue'!C143</x:f>
        <x:v>Accessible Websites and Venue Information</x:v>
      </x:c>
      <x:c r="D143" s="65" t="str">
        <x:f>'Course Catalogue'!D143</x:f>
        <x:v>Accessibility assessors, community contributors, venue operators and planners</x:v>
      </x:c>
      <x:c r="E143" s="65" t="str">
        <x:f>'Course Catalogue'!E143</x:f>
        <x:v>Advanced</x:v>
      </x:c>
      <x:c r="F143" s="65" t="n">
        <x:f>'Course Catalogue'!G143</x:f>
        <x:v>50</x:v>
      </x:c>
      <x:c r="G143" s="65" t="str">
        <x:f>'Course Catalogue'!F143</x:f>
        <x:v>Scenario-based eLearning</x:v>
      </x:c>
      <x:c r="H143" s="65" t="str">
        <x:f>'Course Catalogue'!H143</x:f>
        <x:v>Knowledge quiz and scenario check</x:v>
      </x:c>
      <x:c r="I143" s="65" t="str">
        <x:f>'Course Catalogue'!I143</x:f>
        <x:v>MapAble Academy Certificate of Completion (non-accredited professional development)</x:v>
      </x:c>
      <x:c r="J143" s="65" t="str">
        <x:f>'Course Catalogue'!J143</x:f>
        <x:v>24 months; confirm through provider risk assessment</x:v>
      </x:c>
      <x:c r="K143" s="65" t="str">
        <x:f>'Course Catalogue'!N143</x:f>
        <x:v>Wave 3 – Specialist</x:v>
      </x:c>
      <x:c r="L143" s="65" t="str">
        <x:f>'Course Catalogue'!Q143</x:f>
        <x:v>Accessibility Evidence; Built Environment; Community Participation; Digital Access</x:v>
      </x:c>
      <x:c r="M143" s="65" t="str">
        <x:f>'Course Catalogue'!S143</x:f>
        <x:v>https://www.w3.org/TR/WCAG22/</x:v>
      </x:c>
      <x:c r="N143" s="65" t="str">
        <x:f>'Course Catalogue'!T143</x:f>
        <x:v>Course mapping supports evidence and capability development; it does not guarantee provider compliance.</x:v>
      </x:c>
      <x:c r="O143" s="65" t="str">
        <x:f>'Course Catalogue'!O143</x:f>
        <x:v>Planned</x:v>
      </x:c>
    </x:row>
    <x:row r="144">
      <x:c r="A144" s="65" t="str">
        <x:f>'Course Catalogue'!A144</x:f>
        <x:v>MAA-109</x:v>
      </x:c>
      <x:c r="B144" s="65" t="str">
        <x:f>LEFT('Course Catalogue'!A144,3)</x:f>
        <x:v>MAA</x:v>
      </x:c>
      <x:c r="C144" s="65" t="str">
        <x:f>'Course Catalogue'!C144</x:f>
        <x:v>Collecting Photos, Measurements and Accessibility Evidence</x:v>
      </x:c>
      <x:c r="D144" s="65" t="str">
        <x:f>'Course Catalogue'!D144</x:f>
        <x:v>Accessibility assessors, community contributors, venue operators and planners</x:v>
      </x:c>
      <x:c r="E144" s="65" t="str">
        <x:f>'Course Catalogue'!E144</x:f>
        <x:v>Advanced</x:v>
      </x:c>
      <x:c r="F144" s="65" t="n">
        <x:f>'Course Catalogue'!G144</x:f>
        <x:v>20</x:v>
      </x:c>
      <x:c r="G144" s="65" t="str">
        <x:f>'Course Catalogue'!F144</x:f>
        <x:v>Microlearning + knowledge check</x:v>
      </x:c>
      <x:c r="H144" s="65" t="str">
        <x:f>'Course Catalogue'!H144</x:f>
        <x:v>Knowledge quiz and scenario check</x:v>
      </x:c>
      <x:c r="I144" s="65" t="str">
        <x:f>'Course Catalogue'!I144</x:f>
        <x:v>MapAble Academy Certificate of Completion (non-accredited professional development)</x:v>
      </x:c>
      <x:c r="J144" s="65" t="str">
        <x:f>'Course Catalogue'!J144</x:f>
        <x:v>24 months; confirm through provider risk assessment</x:v>
      </x:c>
      <x:c r="K144" s="65" t="str">
        <x:f>'Course Catalogue'!N144</x:f>
        <x:v>Wave 3 – Specialist</x:v>
      </x:c>
      <x:c r="L144" s="65" t="str">
        <x:f>'Course Catalogue'!Q144</x:f>
        <x:v>Accessibility Evidence; Built Environment; Community Participation; Digital Access</x:v>
      </x:c>
      <x:c r="M144" s="65" t="str">
        <x:f>'Course Catalogue'!S144</x:f>
        <x:v>https://www.w3.org/TR/WCAG22/</x:v>
      </x:c>
      <x:c r="N144" s="65" t="str">
        <x:f>'Course Catalogue'!T144</x:f>
        <x:v>Course mapping supports evidence and capability development; it does not guarantee provider compliance.</x:v>
      </x:c>
      <x:c r="O144" s="65" t="str">
        <x:f>'Course Catalogue'!O144</x:f>
        <x:v>Planned</x:v>
      </x:c>
    </x:row>
    <x:row r="145">
      <x:c r="A145" s="65" t="str">
        <x:f>'Course Catalogue'!A145</x:f>
        <x:v>MAA-110</x:v>
      </x:c>
      <x:c r="B145" s="65" t="str">
        <x:f>LEFT('Course Catalogue'!A145,3)</x:f>
        <x:v>MAA</x:v>
      </x:c>
      <x:c r="C145" s="65" t="str">
        <x:f>'Course Catalogue'!C145</x:f>
        <x:v>Community Reviews, Moderation and Respectful Access Reporting</x:v>
      </x:c>
      <x:c r="D145" s="65" t="str">
        <x:f>'Course Catalogue'!D145</x:f>
        <x:v>Accessibility assessors, community contributors, venue operators and planners</x:v>
      </x:c>
      <x:c r="E145" s="65" t="str">
        <x:f>'Course Catalogue'!E145</x:f>
        <x:v>Advanced</x:v>
      </x:c>
      <x:c r="F145" s="65" t="n">
        <x:f>'Course Catalogue'!G145</x:f>
        <x:v>30</x:v>
      </x:c>
      <x:c r="G145" s="65" t="str">
        <x:f>'Course Catalogue'!F145</x:f>
        <x:v>Self-paced eLearning</x:v>
      </x:c>
      <x:c r="H145" s="65" t="str">
        <x:f>'Course Catalogue'!H145</x:f>
        <x:v>Knowledge quiz and scenario check</x:v>
      </x:c>
      <x:c r="I145" s="65" t="str">
        <x:f>'Course Catalogue'!I145</x:f>
        <x:v>MapAble Academy Certificate of Completion (non-accredited professional development)</x:v>
      </x:c>
      <x:c r="J145" s="65" t="str">
        <x:f>'Course Catalogue'!J145</x:f>
        <x:v>24 months; confirm through provider risk assessment</x:v>
      </x:c>
      <x:c r="K145" s="65" t="str">
        <x:f>'Course Catalogue'!N145</x:f>
        <x:v>Wave 3 – Specialist</x:v>
      </x:c>
      <x:c r="L145" s="65" t="str">
        <x:f>'Course Catalogue'!Q145</x:f>
        <x:v>Accessibility Evidence; Built Environment; Community Participation; Digital Access</x:v>
      </x:c>
      <x:c r="M145" s="65" t="str">
        <x:f>'Course Catalogue'!S145</x:f>
        <x:v>https://www.w3.org/TR/WCAG22/</x:v>
      </x:c>
      <x:c r="N145" s="65" t="str">
        <x:f>'Course Catalogue'!T145</x:f>
        <x:v>Course mapping supports evidence and capability development; it does not guarantee provider compliance.</x:v>
      </x:c>
      <x:c r="O145" s="65" t="str">
        <x:f>'Course Catalogue'!O145</x:f>
        <x:v>Planned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977b6e5e6fd045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52" hidden="0" customWidth="1"/>
    <x:col min="4" max="4" width="56" hidden="0" customWidth="1"/>
  </x:cols>
  <x:sheetData>
    <x:row r="1" ht="34" customHeight="1">
      <x:c r="A1" s="67" t="str">
        <x:v>Metadata Codebook</x:v>
      </x:c>
      <x:c r="B1" s="67" t="str">
        <x:v>Metadata Codebook</x:v>
      </x:c>
      <x:c r="C1" s="67" t="str">
        <x:v>Metadata Codebook</x:v>
      </x:c>
      <x:c r="D1" s="67" t="str">
        <x:v>Metadata Codebook</x:v>
      </x:c>
    </x:row>
    <x:row r="2" ht="32" customHeight="1">
      <x:c r="A2" s="68" t="str">
        <x:v>Definitions and implementation rules for workbook editors and Cursor seed generation.</x:v>
      </x:c>
      <x:c r="B2" s="68" t="str">
        <x:v>Definitions and implementation rules for workbook editors and Cursor seed generation.</x:v>
      </x:c>
      <x:c r="C2" s="68" t="str">
        <x:v>Definitions and implementation rules for workbook editors and Cursor seed generation.</x:v>
      </x:c>
      <x:c r="D2" s="68" t="str">
        <x:v>Definitions and implementation rules for workbook editors and Cursor seed generation.</x:v>
      </x:c>
    </x:row>
    <x:row r="3" ht="34" customHeight="1">
      <x:c r="A3" s="69" t="str">
        <x:v>Field</x:v>
      </x:c>
      <x:c r="B3" s="69" t="str">
        <x:v>Definition</x:v>
      </x:c>
      <x:c r="C3" s="69" t="str">
        <x:v>Allowed Values / Rule</x:v>
      </x:c>
      <x:c r="D3" s="69" t="str">
        <x:v>Implementation Note</x:v>
      </x:c>
    </x:row>
    <x:row r="4">
      <x:c r="A4" s="65" t="str">
        <x:v>Course Code</x:v>
      </x:c>
      <x:c r="B4" s="65" t="str">
        <x:v>Stable curriculum identifier.</x:v>
      </x:c>
      <x:c r="C4" s="65" t="str">
        <x:v>Three-letter school code plus numeric sequence.</x:v>
      </x:c>
      <x:c r="D4" s="65" t="str">
        <x:v>Do not reuse retired identifiers.</x:v>
      </x:c>
    </x:row>
    <x:row r="5">
      <x:c r="A5" s="65" t="str">
        <x:v>Course Version</x:v>
      </x:c>
      <x:c r="B5" s="65" t="str">
        <x:v>Immutable published content snapshot.</x:v>
      </x:c>
      <x:c r="C5" s="65" t="str">
        <x:v>Managed in the application; not represented as a catalogue column.</x:v>
      </x:c>
      <x:c r="D5" s="65" t="str">
        <x:v>Every completion must reference the exact version completed.</x:v>
      </x:c>
    </x:row>
    <x:row r="6">
      <x:c r="A6" s="65" t="str">
        <x:v>Level</x:v>
      </x:c>
      <x:c r="B6" s="65" t="str">
        <x:v>Indicative complexity, not worker seniority.</x:v>
      </x:c>
      <x:c r="C6" s="65" t="str">
        <x:v>Foundation; Intermediate; Advanced.</x:v>
      </x:c>
      <x:c r="D6" s="65" t="str">
        <x:v>Prerequisites must be explicit in the application.</x:v>
      </x:c>
    </x:row>
    <x:row r="7">
      <x:c r="A7" s="65" t="str">
        <x:v>Credential</x:v>
      </x:c>
      <x:c r="B7" s="65" t="str">
        <x:v>Recognition issued after course completion.</x:v>
      </x:c>
      <x:c r="C7" s="65" t="str">
        <x:v>Certificate of Completion only unless an authorised external partner issues another credential.</x:v>
      </x:c>
      <x:c r="D7" s="65" t="str">
        <x:v>Never imply AQF recognition or guaranteed competence.</x:v>
      </x:c>
    </x:row>
    <x:row r="8">
      <x:c r="A8" s="65" t="str">
        <x:v>Suggested Review Cycle</x:v>
      </x:c>
      <x:c r="B8" s="65" t="str">
        <x:v>Planning prompt for refresher review.</x:v>
      </x:c>
      <x:c r="C8" s="65" t="str">
        <x:v>Must be confirmed through provider risk assessment, participant needs and assessor requirements.</x:v>
      </x:c>
      <x:c r="D8" s="65" t="str">
        <x:v>Do not market this as a universal legal expiry period.</x:v>
      </x:c>
    </x:row>
    <x:row r="9">
      <x:c r="A9" s="65" t="str">
        <x:v>Practical Assessment Required</x:v>
      </x:c>
      <x:c r="B9" s="65" t="str">
        <x:v>Whether online theory is insufficient to establish practical competence.</x:v>
      </x:c>
      <x:c r="C9" s="65" t="str">
        <x:v>Yes or No with qualification.</x:v>
      </x:c>
      <x:c r="D9" s="65" t="str">
        <x:v>High intensity support requires participant-specific training and appropriate assessment.</x:v>
      </x:c>
    </x:row>
    <x:row r="10">
      <x:c r="A10" s="65" t="str">
        <x:v>Clinical Review Required</x:v>
      </x:c>
      <x:c r="B10" s="65" t="str">
        <x:v>Whether qualified clinical review is needed before publication.</x:v>
      </x:c>
      <x:c r="C10" s="65" t="str">
        <x:v>Yes; No.</x:v>
      </x:c>
      <x:c r="D10" s="65" t="str">
        <x:v>Publication workflow must fail closed when required review is absent.</x:v>
      </x:c>
    </x:row>
    <x:row r="11">
      <x:c r="A11" s="65" t="str">
        <x:v>Disability-Led Review</x:v>
      </x:c>
      <x:c r="B11" s="65" t="str">
        <x:v>Review by paid lived-experience contributors or authorised disability-led panel.</x:v>
      </x:c>
      <x:c r="C11" s="65" t="str">
        <x:v>Required before publication.</x:v>
      </x:c>
      <x:c r="D11" s="65" t="str">
        <x:v>Record reviewer role, decision, date and content version.</x:v>
      </x:c>
    </x:row>
    <x:row r="12">
      <x:c r="A12" s="65" t="str">
        <x:v>Release Wave</x:v>
      </x:c>
      <x:c r="B12" s="65" t="str">
        <x:v>Curriculum sequencing category.</x:v>
      </x:c>
      <x:c r="C12" s="65" t="str">
        <x:v>Wave 1 – Launch; Wave 2 – Expansion; Wave 3 – Specialist.</x:v>
      </x:c>
      <x:c r="D12" s="65" t="str">
        <x:v>Release wave is not a quality ranking.</x:v>
      </x:c>
    </x:row>
    <x:row r="13">
      <x:c r="A13" s="65" t="str">
        <x:v>Status</x:v>
      </x:c>
      <x:c r="B13" s="65" t="str">
        <x:v>Authoring lifecycle.</x:v>
      </x:c>
      <x:c r="C13" s="65" t="str">
        <x:v>Planned; In design; In review; Published; Retired.</x:v>
      </x:c>
      <x:c r="D13" s="65" t="str">
        <x:v>Only approved Published versions are learner-visible.</x:v>
      </x:c>
    </x:row>
    <x:row r="14">
      <x:c r="A14" s="65" t="str">
        <x:v>Framework Tags</x:v>
      </x:c>
      <x:c r="B14" s="65" t="str">
        <x:v>Machine-readable alignment labels.</x:v>
      </x:c>
      <x:c r="C14" s="65" t="str">
        <x:v>Use controlled tags maintained by compliance reviewers.</x:v>
      </x:c>
      <x:c r="D14" s="65" t="str">
        <x:v>Mapping supports evidence; it does not guarantee compliance.</x:v>
      </x:c>
    </x:row>
    <x:row r="15">
      <x:c r="A15" s="65" t="str">
        <x:v>Source URL</x:v>
      </x:c>
      <x:c r="B15" s="65" t="str">
        <x:v>Authoritative source used to scope the course.</x:v>
      </x:c>
      <x:c r="C15" s="65" t="str">
        <x:v>Plain-text HTTPS URL.</x:v>
      </x:c>
      <x:c r="D15" s="65" t="str">
        <x:v>Store source title, retrieved date and review date in the application.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9ed80ef1fbe4a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64" hidden="0" customWidth="1"/>
    <x:col min="4" max="4" width="68" hidden="0" customWidth="1"/>
  </x:cols>
  <x:sheetData>
    <x:row r="1" ht="34" customHeight="1">
      <x:c r="A1" s="67" t="str">
        <x:v>Authoritative Sources and Benchmark Notes</x:v>
      </x:c>
      <x:c r="B1" s="67" t="str">
        <x:v>Authoritative Sources and Benchmark Notes</x:v>
      </x:c>
      <x:c r="C1" s="67" t="str">
        <x:v>Authoritative Sources and Benchmark Notes</x:v>
      </x:c>
      <x:c r="D1" s="67" t="str">
        <x:v>Authoritative Sources and Benchmark Notes</x:v>
      </x:c>
    </x:row>
    <x:row r="2" ht="32" customHeight="1">
      <x:c r="A2" s="68" t="str">
        <x:v>Sources guide course scoping and review. They do not license reproduction of third-party course content.</x:v>
      </x:c>
      <x:c r="B2" s="68" t="str">
        <x:v>Sources guide course scoping and review. They do not license reproduction of third-party course content.</x:v>
      </x:c>
      <x:c r="C2" s="68" t="str">
        <x:v>Sources guide course scoping and review. They do not license reproduction of third-party course content.</x:v>
      </x:c>
      <x:c r="D2" s="68" t="str">
        <x:v>Sources guide course scoping and review. They do not license reproduction of third-party course content.</x:v>
      </x:c>
    </x:row>
    <x:row r="3" ht="34" customHeight="1">
      <x:c r="A3" s="69" t="str">
        <x:v>Theme</x:v>
      </x:c>
      <x:c r="B3" s="69" t="str">
        <x:v>Source</x:v>
      </x:c>
      <x:c r="C3" s="69" t="str">
        <x:v>URL</x:v>
      </x:c>
      <x:c r="D3" s="69" t="str">
        <x:v>Use and Caveat</x:v>
      </x:c>
    </x:row>
    <x:row r="4">
      <x:c r="A4" s="65" t="str">
        <x:v>NDIS quality requirements</x:v>
      </x:c>
      <x:c r="B4" s="65" t="str">
        <x:v>NDIS Practice Standards</x:v>
      </x:c>
      <x:c r="C4" s="65" t="str">
        <x:v>https://www.ndiscommission.gov.au/rules-and-standards/ndis-practice-standards</x:v>
      </x:c>
      <x:c r="D4" s="65" t="str">
        <x:v>Map courses to outcomes and indicators. Never claim that course completion guarantees compliance.</x:v>
      </x:c>
    </x:row>
    <x:row r="5">
      <x:c r="A5" s="65" t="str">
        <x:v>Worker capability</x:v>
      </x:c>
      <x:c r="B5" s="65" t="str">
        <x:v>Training your workers — NDIS Commission</x:v>
      </x:c>
      <x:c r="C5" s="65" t="str">
        <x:v>https://www.ndiscommission.gov.au/workforce/training-workers/guide-for-ndis-providers/training-your-workers</x:v>
      </x:c>
      <x:c r="D5" s="65" t="str">
        <x:v>Use for capability needs, induction and training-selection design.</x:v>
      </x:c>
    </x:row>
    <x:row r="6">
      <x:c r="A6" s="65" t="str">
        <x:v>Commission eLearning</x:v>
      </x:c>
      <x:c r="B6" s="65" t="str">
        <x:v>NDIS Commission online training modules</x:v>
      </x:c>
      <x:c r="C6" s="65" t="str">
        <x:v>https://www.ndiscommission.gov.au/workforce/online-training-modules</x:v>
      </x:c>
      <x:c r="D6" s="65" t="str">
        <x:v>Link learners to official modules where relevant; do not relabel official completions as MapAble courses.</x:v>
      </x:c>
    </x:row>
    <x:row r="7">
      <x:c r="A7" s="65" t="str">
        <x:v>High intensity supports</x:v>
      </x:c>
      <x:c r="B7" s="65" t="str">
        <x:v>High intensity daily personal activities</x:v>
      </x:c>
      <x:c r="C7" s="65" t="str">
        <x:v>https://www.ndiscommission.gov.au/rules-and-standards/ndis-practice-standards/supplementary-module-high-intensity-daily-personal</x:v>
      </x:c>
      <x:c r="D7" s="65" t="str">
        <x:v>Theory is not practical competency. Participant-specific training and appropriately qualified assessment remain separate.</x:v>
      </x:c>
    </x:row>
    <x:row r="8">
      <x:c r="A8" s="65" t="str">
        <x:v>Evidence-informed practice</x:v>
      </x:c>
      <x:c r="B8" s="65" t="str">
        <x:v>NDIS Commission quality practice</x:v>
      </x:c>
      <x:c r="C8" s="65" t="str">
        <x:v>https://www.ndiscommission.gov.au/rules-and-standards/quality-practice</x:v>
      </x:c>
      <x:c r="D8" s="65" t="str">
        <x:v>Use practice alerts and Easy Read materials as review inputs, respecting copyright and current versions.</x:v>
      </x:c>
    </x:row>
    <x:row r="9">
      <x:c r="A9" s="65" t="str">
        <x:v>Behaviour support</x:v>
      </x:c>
      <x:c r="B9" s="65" t="str">
        <x:v>Behaviour support and restrictive practices</x:v>
      </x:c>
      <x:c r="C9" s="65" t="str">
        <x:v>https://www.ndiscommission.gov.au/rules-and-standards/behaviour-support-and-restrictive-practices</x:v>
      </x:c>
      <x:c r="D9" s="65" t="str">
        <x:v>Require specialist and compliance review for regulated restrictive-practice content.</x:v>
      </x:c>
    </x:row>
    <x:row r="10">
      <x:c r="A10" s="65" t="str">
        <x:v>Digital platform regulation</x:v>
      </x:c>
      <x:c r="B10" s="65" t="str">
        <x:v>Mandatory registration for NDIS digital platforms</x:v>
      </x:c>
      <x:c r="C10" s="65" t="str">
        <x:v>https://www.ndiscommission.gov.au/about-us/ndis-commission-reform-hub/mandatory-registration/mandatory-registration-digital</x:v>
      </x:c>
      <x:c r="D10" s="65" t="str">
        <x:v>Keep Academy education functions separate from intermediary and plan-payment functions; obtain legal review for integrations.</x:v>
      </x:c>
    </x:row>
    <x:row r="11">
      <x:c r="A11" s="65" t="str">
        <x:v>Credential language</x:v>
      </x:c>
      <x:c r="B11" s="65" t="str">
        <x:v>ASQA certification requirements</x:v>
      </x:c>
      <x:c r="C11" s="65" t="str">
        <x:v>https://www.asqa.gov.au/for-providers/provider-obligations/testamurs-statements-attainment</x:v>
      </x:c>
      <x:c r="D11" s="65" t="str">
        <x:v>MapAble issues non-accredited completion records unless operating through an authorised RTO arrangement.</x:v>
      </x:c>
    </x:row>
    <x:row r="12">
      <x:c r="A12" s="65" t="str">
        <x:v>Accessibility</x:v>
      </x:c>
      <x:c r="B12" s="65" t="str">
        <x:v>WCAG 2.2</x:v>
      </x:c>
      <x:c r="C12" s="65" t="str">
        <x:v>https://www.w3.org/TR/WCAG22/</x:v>
      </x:c>
      <x:c r="D12" s="65" t="str">
        <x:v>Minimum digital accessibility baseline is WCAG 2.2 AA, supplemented by disability-led testing.</x:v>
      </x:c>
    </x:row>
    <x:row r="13">
      <x:c r="A13" s="65" t="str">
        <x:v>Portable credentials</x:v>
      </x:c>
      <x:c r="B13" s="65" t="str">
        <x:v>Open Badges 3.0</x:v>
      </x:c>
      <x:c r="C13" s="65" t="str">
        <x:v>https://www.1edtech.org/standards/open-badges</x:v>
      </x:c>
      <x:c r="D13" s="65" t="str">
        <x:v>Future interoperability option; do not claim conformance without completing the relevant process.</x:v>
      </x:c>
    </x:row>
    <x:row r="14">
      <x:c r="A14" s="65" t="str">
        <x:v>Competency interoperability</x:v>
      </x:c>
      <x:c r="B14" s="65" t="str">
        <x:v>1EdTech CASE</x:v>
      </x:c>
      <x:c r="C14" s="65" t="str">
        <x:v>https://www.1edtech.org/standards/case</x:v>
      </x:c>
      <x:c r="D14" s="65" t="str">
        <x:v>Future machine-readable competency framework option.</x:v>
      </x:c>
    </x:row>
    <x:row r="15">
      <x:c r="A15" s="65" t="str">
        <x:v>Market benchmark</x:v>
      </x:c>
      <x:c r="B15" s="65" t="str">
        <x:v>DSC On-Demand</x:v>
      </x:c>
      <x:c r="C15" s="65" t="str">
        <x:v>https://teamdsc.com.au/on-demand</x:v>
      </x:c>
      <x:c r="D15" s="65" t="str">
        <x:v>Inspiration for catalogue discovery, short formats and team administration only. Do not copy branding or proprietary content.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93f55209475450e"/>
  </x:tableParts>
</x:worksheet>
</file>